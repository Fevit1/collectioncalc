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Summary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<sst xmlns="http://schemas.openxmlformats.org/spreadsheetml/2006/main" count="201" uniqueCount="178">
  <si>
    <t xml:space="preserve">SLAB WORTHY — YEAR 1 P&amp;L (FULL STARTUP)</t>
  </si>
  <si>
    <t xml:space="preserve">Comics + Baseball Cards + Operating Expenses</t>
  </si>
  <si>
    <t xml:space="preserve">USER MIX</t>
  </si>
  <si>
    <t xml:space="preserve">Comic collectors (individual)</t>
  </si>
  <si>
    <t xml:space="preserve">Comic shops</t>
  </si>
  <si>
    <t xml:space="preserve">Baseball card collectors (individual)</t>
  </si>
  <si>
    <t xml:space="preserve">Baseball card shops</t>
  </si>
  <si>
    <t xml:space="preserve">TOTAL USERS</t>
  </si>
  <si>
    <t xml:space="preserve">PLAN DISTRIBUTION — INDIVIDUALS</t>
  </si>
  <si>
    <t xml:space="preserve">  Free</t>
  </si>
  <si>
    <t xml:space="preserve">  Pro</t>
  </si>
  <si>
    <t xml:space="preserve">  Guard</t>
  </si>
  <si>
    <t xml:space="preserve">  Dealer</t>
  </si>
  <si>
    <t xml:space="preserve">PLAN DISTRIBUTION — SHOPS</t>
  </si>
  <si>
    <t xml:space="preserve">API COST PER CALL</t>
  </si>
  <si>
    <t xml:space="preserve">  Comic — Grading</t>
  </si>
  <si>
    <t xml:space="preserve">Sonnet 4 + Vision</t>
  </si>
  <si>
    <t xml:space="preserve">  Comic — Listing/CV/Sig</t>
  </si>
  <si>
    <t xml:space="preserve">$0.010 / $0.024 / $0.024</t>
  </si>
  <si>
    <t xml:space="preserve">  Card — All calls at 2×</t>
  </si>
  <si>
    <t xml:space="preserve">Double: more surface analysis, front+back</t>
  </si>
  <si>
    <t xml:space="preserve">STARTUP OPERATING EXPENSES</t>
  </si>
  <si>
    <t xml:space="preserve">  First employee — base salary</t>
  </si>
  <si>
    <t xml:space="preserve">Marketing + front-end design hybrid role</t>
  </si>
  <si>
    <t xml:space="preserve">    Payroll taxes + benefits (~30%)</t>
  </si>
  <si>
    <t xml:space="preserve">FICA, health insurance, 401k match</t>
  </si>
  <si>
    <t xml:space="preserve">    Total employee cost</t>
  </si>
  <si>
    <t xml:space="preserve">All-in annual cost</t>
  </si>
  <si>
    <t xml:space="preserve">  Marketing — paid ads (Google/Meta)</t>
  </si>
  <si>
    <t xml:space="preserve">Per month — targeted collector/shop audiences</t>
  </si>
  <si>
    <t xml:space="preserve">  Marketing — content / influencer</t>
  </si>
  <si>
    <t xml:space="preserve">Per month — YouTube unboxings, comic TikTok</t>
  </si>
  <si>
    <t xml:space="preserve">  Marketing — conventions / events</t>
  </si>
  <si>
    <t xml:space="preserve">Per month — amortized booth costs, swag</t>
  </si>
  <si>
    <t xml:space="preserve">  Marketing — email / tools (Mailchimp etc)</t>
  </si>
  <si>
    <t xml:space="preserve">Per month</t>
  </si>
  <si>
    <t xml:space="preserve">  Software / tools</t>
  </si>
  <si>
    <t xml:space="preserve">Per month — Figma, GitHub, analytics, etc.</t>
  </si>
  <si>
    <t xml:space="preserve">  Legal / accounting</t>
  </si>
  <si>
    <t xml:space="preserve">Per month — bookkeeper, LLC, trademarks</t>
  </si>
  <si>
    <t xml:space="preserve">  Business insurance (E&amp;O / general)</t>
  </si>
  <si>
    <t xml:space="preserve">Per month — amortized annual premium</t>
  </si>
  <si>
    <t xml:space="preserve">  Misc / contingency</t>
  </si>
  <si>
    <t xml:space="preserve">Per month — unexpected costs, travel</t>
  </si>
  <si>
    <t xml:space="preserve">15,000 Users · Comics + Baseball Cards · Full Operating Costs</t>
  </si>
  <si>
    <t xml:space="preserve">REVENUE</t>
  </si>
  <si>
    <t xml:space="preserve">Monthly</t>
  </si>
  <si>
    <t xml:space="preserve">Annual</t>
  </si>
  <si>
    <t xml:space="preserve">Notes</t>
  </si>
  <si>
    <t xml:space="preserve">Comic Collectors — Individuals (4,500)</t>
  </si>
  <si>
    <t xml:space="preserve">  Free (2,700 × $0)</t>
  </si>
  <si>
    <t xml:space="preserve">  Pro (1,125)</t>
  </si>
  <si>
    <t xml:space="preserve">  Guard (540)</t>
  </si>
  <si>
    <t xml:space="preserve">  Dealer (135)</t>
  </si>
  <si>
    <t xml:space="preserve">  Subtotal — Comic Individuals</t>
  </si>
  <si>
    <t xml:space="preserve">Comic Shops (500)</t>
  </si>
  <si>
    <t xml:space="preserve">  Free (50 × $0)</t>
  </si>
  <si>
    <t xml:space="preserve">  Pro (75)</t>
  </si>
  <si>
    <t xml:space="preserve">  Guard (150)</t>
  </si>
  <si>
    <t xml:space="preserve">  Dealer (225)</t>
  </si>
  <si>
    <t xml:space="preserve">  Subtotal — Comic Shops</t>
  </si>
  <si>
    <t xml:space="preserve">Baseball Card Collectors — Individuals (9,000)</t>
  </si>
  <si>
    <t xml:space="preserve">  Free (5,400 × $0)</t>
  </si>
  <si>
    <t xml:space="preserve">  Pro (2,250)</t>
  </si>
  <si>
    <t xml:space="preserve">  Guard (1,080)</t>
  </si>
  <si>
    <t xml:space="preserve">  Dealer (270)</t>
  </si>
  <si>
    <t xml:space="preserve">  Subtotal — Card Individuals</t>
  </si>
  <si>
    <t xml:space="preserve">Baseball Card Shops (1,000)</t>
  </si>
  <si>
    <t xml:space="preserve">  Free (100 × $0)</t>
  </si>
  <si>
    <t xml:space="preserve">  Pro (150)</t>
  </si>
  <si>
    <t xml:space="preserve">  Guard (300)</t>
  </si>
  <si>
    <t xml:space="preserve">  Dealer (450)</t>
  </si>
  <si>
    <t xml:space="preserve">  Subtotal — Card Shops</t>
  </si>
  <si>
    <t xml:space="preserve">TOTAL REVENUE</t>
  </si>
  <si>
    <t xml:space="preserve">VARIABLE COSTS (COGS)</t>
  </si>
  <si>
    <t xml:space="preserve">Anthropic API — Comics</t>
  </si>
  <si>
    <t xml:space="preserve">  Free individuals (2,700)</t>
  </si>
  <si>
    <t xml:space="preserve">  Paid individuals (1,800)</t>
  </si>
  <si>
    <t xml:space="preserve">  Free shops (50)</t>
  </si>
  <si>
    <t xml:space="preserve">  Paid shops (450)</t>
  </si>
  <si>
    <t xml:space="preserve">  Subtotal — Comic API</t>
  </si>
  <si>
    <t xml:space="preserve">Anthropic API — Baseball Cards (2× rate)</t>
  </si>
  <si>
    <t xml:space="preserve">  Free individuals (5,400)</t>
  </si>
  <si>
    <t xml:space="preserve">  Paid individuals (3,600)</t>
  </si>
  <si>
    <t xml:space="preserve">  Free shops (100)</t>
  </si>
  <si>
    <t xml:space="preserve">  Paid shops (900)</t>
  </si>
  <si>
    <t xml:space="preserve">  Subtotal — Card API</t>
  </si>
  <si>
    <t xml:space="preserve">Infrastructure</t>
  </si>
  <si>
    <t xml:space="preserve">  Render API (Standard Plus)</t>
  </si>
  <si>
    <t xml:space="preserve">  Render PostgreSQL</t>
  </si>
  <si>
    <t xml:space="preserve">  Cloudflare R2 storage</t>
  </si>
  <si>
    <t xml:space="preserve">  Cloudflare CDN Pro</t>
  </si>
  <si>
    <t xml:space="preserve">  Domain / SSL</t>
  </si>
  <si>
    <t xml:space="preserve">  Monitoring (Sentry)</t>
  </si>
  <si>
    <t xml:space="preserve">  Subtotal — Infrastructure</t>
  </si>
  <si>
    <t xml:space="preserve">Stripe processing fees</t>
  </si>
  <si>
    <t xml:space="preserve">2.9% + $0.30/txn × 6,750 paying users</t>
  </si>
  <si>
    <t xml:space="preserve">TOTAL VARIABLE COSTS (COGS)</t>
  </si>
  <si>
    <t xml:space="preserve">GROSS PROFIT</t>
  </si>
  <si>
    <t xml:space="preserve">  Gross Margin %</t>
  </si>
  <si>
    <t xml:space="preserve">OPERATING EXPENSES (OpEx)</t>
  </si>
  <si>
    <t xml:space="preserve">People</t>
  </si>
  <si>
    <t xml:space="preserve">  Employee #1 — Marketing + Front-End Design</t>
  </si>
  <si>
    <t xml:space="preserve">Base salary $75K/yr</t>
  </si>
  <si>
    <t xml:space="preserve">  Payroll taxes + benefits (~30%)</t>
  </si>
  <si>
    <t xml:space="preserve">FICA, health, 401k match</t>
  </si>
  <si>
    <t xml:space="preserve">  Subtotal — People</t>
  </si>
  <si>
    <t xml:space="preserve">Marketing</t>
  </si>
  <si>
    <t xml:space="preserve">  Paid ads (Google / Meta / Reddit)</t>
  </si>
  <si>
    <t xml:space="preserve">Targeted collector + shop audiences</t>
  </si>
  <si>
    <t xml:space="preserve">  Content + influencer collabs</t>
  </si>
  <si>
    <t xml:space="preserve">YouTube unboxings, comic/card TikTok</t>
  </si>
  <si>
    <t xml:space="preserve">  Conventions / events / swag</t>
  </si>
  <si>
    <t xml:space="preserve">Amortized booth costs, prints, stickers</t>
  </si>
  <si>
    <t xml:space="preserve">  Email platform (Mailchimp)</t>
  </si>
  <si>
    <t xml:space="preserve">Growing list, drip campaigns</t>
  </si>
  <si>
    <t xml:space="preserve">  SEO tools + content writing</t>
  </si>
  <si>
    <t xml:space="preserve">Ahrefs, guest posts, blog content</t>
  </si>
  <si>
    <t xml:space="preserve">  Subtotal — Marketing</t>
  </si>
  <si>
    <t xml:space="preserve">General &amp; Administrative</t>
  </si>
  <si>
    <t xml:space="preserve">  Software / tools (Figma, GitHub, analytics)</t>
  </si>
  <si>
    <t xml:space="preserve">Design + dev + analytics stack</t>
  </si>
  <si>
    <t xml:space="preserve">  Legal + accounting</t>
  </si>
  <si>
    <t xml:space="preserve">Bookkeeper, LLC maintenance, trademarks</t>
  </si>
  <si>
    <t xml:space="preserve">Amortized annual premium</t>
  </si>
  <si>
    <t xml:space="preserve">Unexpected costs, travel, office supplies</t>
  </si>
  <si>
    <t xml:space="preserve">  Subtotal — G&amp;A</t>
  </si>
  <si>
    <t xml:space="preserve">TOTAL OPERATING EXPENSES</t>
  </si>
  <si>
    <t xml:space="preserve">TOTAL ALL COSTS</t>
  </si>
  <si>
    <t xml:space="preserve">NET PROFIT (BEFORE TAX)</t>
  </si>
  <si>
    <t xml:space="preserve">Net Margin %</t>
  </si>
  <si>
    <t xml:space="preserve">Gross Margin % (before OpEx)</t>
  </si>
  <si>
    <t xml:space="preserve">Anthropic API as % of Revenue</t>
  </si>
  <si>
    <t xml:space="preserve">OpEx as % of Revenue</t>
  </si>
  <si>
    <t xml:space="preserve">ARPU (all users)</t>
  </si>
  <si>
    <t xml:space="preserve">Cost per User / month (all-in)</t>
  </si>
  <si>
    <t xml:space="preserve">COST BREAKDOWN SUMMARY</t>
  </si>
  <si>
    <t xml:space="preserve">% of Total Cost</t>
  </si>
  <si>
    <t xml:space="preserve">Anthropic API (Comics)</t>
  </si>
  <si>
    <t xml:space="preserve">Anthropic API (Cards)</t>
  </si>
  <si>
    <t xml:space="preserve">Stripe Fees</t>
  </si>
  <si>
    <t xml:space="preserve">Employee</t>
  </si>
  <si>
    <t xml:space="preserve">G&amp;A</t>
  </si>
  <si>
    <t xml:space="preserve">SCENARIO ANALYSIS</t>
  </si>
  <si>
    <t xml:space="preserve">Conservative</t>
  </si>
  <si>
    <t xml:space="preserve">Base Case</t>
  </si>
  <si>
    <t xml:space="preserve">Optimistic</t>
  </si>
  <si>
    <t xml:space="preserve">Total Users</t>
  </si>
  <si>
    <t xml:space="preserve">10,000</t>
  </si>
  <si>
    <t xml:space="preserve">15,000</t>
  </si>
  <si>
    <t xml:space="preserve">25,000</t>
  </si>
  <si>
    <t xml:space="preserve">Paid Conversion %</t>
  </si>
  <si>
    <t xml:space="preserve">35%</t>
  </si>
  <si>
    <t xml:space="preserve">40%</t>
  </si>
  <si>
    <t xml:space="preserve">50%</t>
  </si>
  <si>
    <t xml:space="preserve">% on paid plans</t>
  </si>
  <si>
    <t xml:space="preserve">Annual Revenue</t>
  </si>
  <si>
    <t xml:space="preserve">Annual Net Profit</t>
  </si>
  <si>
    <t xml:space="preserve">CONSERVATIVE (10K users)</t>
  </si>
  <si>
    <t xml:space="preserve">  Revenue</t>
  </si>
  <si>
    <t xml:space="preserve">$492K</t>
  </si>
  <si>
    <t xml:space="preserve">Same ARPU, fewer users</t>
  </si>
  <si>
    <t xml:space="preserve">  Total Costs</t>
  </si>
  <si>
    <t xml:space="preserve">$276K</t>
  </si>
  <si>
    <t xml:space="preserve">Lower API, same OpEx</t>
  </si>
  <si>
    <t xml:space="preserve">  Net Profit</t>
  </si>
  <si>
    <t xml:space="preserve">$216K</t>
  </si>
  <si>
    <t xml:space="preserve">BASE CASE (15K users)</t>
  </si>
  <si>
    <t xml:space="preserve">$739K</t>
  </si>
  <si>
    <t xml:space="preserve">Current model</t>
  </si>
  <si>
    <t xml:space="preserve">$434K</t>
  </si>
  <si>
    <t xml:space="preserve">$305K</t>
  </si>
  <si>
    <t xml:space="preserve">OPTIMISTIC (25K users)</t>
  </si>
  <si>
    <t xml:space="preserve">$1.23M</t>
  </si>
  <si>
    <t xml:space="preserve">Same ARPU, more users</t>
  </si>
  <si>
    <t xml:space="preserve">$600K</t>
  </si>
  <si>
    <t xml:space="preserve">API scales, OpEx +50%</t>
  </si>
  <si>
    <t xml:space="preserve">$632K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</si>
</sst>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.000"/>
    <numFmt numFmtId="168" formatCode="\$#,##0"/>
    <numFmt numFmtId="169" formatCode="0.0%"/>
    <numFmt numFmtId="170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46E5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A237E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E65100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1"/>
      <color rgb="FFB71C1C"/>
      <name val="Cambria"/>
      <family val="0"/>
      <charset val="1"/>
    </font>
    <font>
      <b val="true"/>
      <sz val="12"/>
      <color rgb="FF2E7D3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AF6"/>
        <bgColor rgb="FFE8F5E9"/>
      </patternFill>
    </fill>
    <fill>
      <patternFill patternType="solid">
        <fgColor rgb="FFFFFFDD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8F5E9"/>
        <bgColor rgb="FFE8EAF6"/>
      </patternFill>
    </fill>
    <fill>
      <patternFill patternType="solid">
        <fgColor rgb="FFFFEBEE"/>
        <bgColor rgb="FFFFF3E0"/>
      </patternFill>
    </fill>
    <fill>
      <patternFill patternType="solid">
        <fgColor rgb="FFC8E6C9"/>
        <bgColor rgb="FFE8EAF6"/>
      </patternFill>
    </fill>
    <fill>
      <patternFill patternType="solid">
        <fgColor rgb="FF4F46E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D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F3E0"/>
      <rgbColor rgb="FF99CCFF"/>
      <rgbColor rgb="FFFF99CC"/>
      <rgbColor rgb="FFCC99FF"/>
      <rgbColor rgb="FFFFEBEE"/>
      <rgbColor rgb="FF4F46E5"/>
      <rgbColor rgb="FF10B981"/>
      <rgbColor rgb="FF99CC00"/>
      <rgbColor rgb="FFFFCC00"/>
      <rgbColor rgb="FFF59E0B"/>
      <rgbColor rgb="FFE65100"/>
      <rgbColor rgb="FF666666"/>
      <rgbColor rgb="FF969696"/>
      <rgbColor rgb="FF1A237E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0" t="s">
        <v>3</v>
      </c>
      <c r="B5" s="5" t="n">
        <v>4500</v>
      </c>
    </row>
    <row r="6" customFormat="false" ht="15" hidden="false" customHeight="false" outlineLevel="0" collapsed="false">
      <c r="A6" s="0" t="s">
        <v>4</v>
      </c>
      <c r="B6" s="5" t="n">
        <v>500</v>
      </c>
    </row>
    <row r="7" customFormat="false" ht="15" hidden="false" customHeight="false" outlineLevel="0" collapsed="false">
      <c r="A7" s="0" t="s">
        <v>5</v>
      </c>
      <c r="B7" s="5" t="n">
        <v>9000</v>
      </c>
    </row>
    <row r="8" customFormat="false" ht="15" hidden="false" customHeight="false" outlineLevel="0" collapsed="false">
      <c r="A8" s="0" t="s">
        <v>6</v>
      </c>
      <c r="B8" s="5" t="n">
        <v>1000</v>
      </c>
    </row>
    <row r="9" customFormat="false" ht="15" hidden="false" customHeight="false" outlineLevel="0" collapsed="false">
      <c r="A9" s="6" t="s">
        <v>7</v>
      </c>
      <c r="B9" s="7" t="n">
        <v>15000</v>
      </c>
    </row>
    <row r="11" customFormat="false" ht="15" hidden="false" customHeight="false" outlineLevel="0" collapsed="false">
      <c r="A11" s="3" t="s">
        <v>8</v>
      </c>
      <c r="B11" s="4"/>
      <c r="C11" s="4"/>
    </row>
    <row r="12" customFormat="false" ht="15" hidden="false" customHeight="false" outlineLevel="0" collapsed="false">
      <c r="A12" s="0" t="s">
        <v>9</v>
      </c>
      <c r="B12" s="8" t="n">
        <v>0.6</v>
      </c>
    </row>
    <row r="13" customFormat="false" ht="15" hidden="false" customHeight="false" outlineLevel="0" collapsed="false">
      <c r="A13" s="0" t="s">
        <v>10</v>
      </c>
      <c r="B13" s="8" t="n">
        <v>0.25</v>
      </c>
    </row>
    <row r="14" customFormat="false" ht="15" hidden="false" customHeight="false" outlineLevel="0" collapsed="false">
      <c r="A14" s="0" t="s">
        <v>11</v>
      </c>
      <c r="B14" s="8" t="n">
        <v>0.12</v>
      </c>
    </row>
    <row r="15" customFormat="false" ht="15" hidden="false" customHeight="false" outlineLevel="0" collapsed="false">
      <c r="A15" s="0" t="s">
        <v>12</v>
      </c>
      <c r="B15" s="8" t="n">
        <v>0.03</v>
      </c>
    </row>
    <row r="17" customFormat="false" ht="15" hidden="false" customHeight="false" outlineLevel="0" collapsed="false">
      <c r="A17" s="3" t="s">
        <v>13</v>
      </c>
      <c r="B17" s="4"/>
      <c r="C17" s="4"/>
    </row>
    <row r="18" customFormat="false" ht="15" hidden="false" customHeight="false" outlineLevel="0" collapsed="false">
      <c r="A18" s="0" t="s">
        <v>9</v>
      </c>
      <c r="B18" s="8" t="n">
        <v>0.1</v>
      </c>
    </row>
    <row r="19" customFormat="false" ht="15" hidden="false" customHeight="false" outlineLevel="0" collapsed="false">
      <c r="A19" s="0" t="s">
        <v>10</v>
      </c>
      <c r="B19" s="8" t="n">
        <v>0.15</v>
      </c>
    </row>
    <row r="20" customFormat="false" ht="15" hidden="false" customHeight="false" outlineLevel="0" collapsed="false">
      <c r="A20" s="0" t="s">
        <v>11</v>
      </c>
      <c r="B20" s="8" t="n">
        <v>0.3</v>
      </c>
    </row>
    <row r="21" customFormat="false" ht="15" hidden="false" customHeight="false" outlineLevel="0" collapsed="false">
      <c r="A21" s="0" t="s">
        <v>12</v>
      </c>
      <c r="B21" s="8" t="n">
        <v>0.45</v>
      </c>
    </row>
    <row r="23" customFormat="false" ht="15" hidden="false" customHeight="false" outlineLevel="0" collapsed="false">
      <c r="A23" s="3" t="s">
        <v>14</v>
      </c>
      <c r="B23" s="4"/>
      <c r="C23" s="4"/>
    </row>
    <row r="24" customFormat="false" ht="15" hidden="false" customHeight="false" outlineLevel="0" collapsed="false">
      <c r="A24" s="0" t="s">
        <v>15</v>
      </c>
      <c r="B24" s="9" t="n">
        <v>0.035</v>
      </c>
      <c r="C24" s="2" t="s">
        <v>16</v>
      </c>
    </row>
    <row r="25" customFormat="false" ht="15" hidden="false" customHeight="false" outlineLevel="0" collapsed="false">
      <c r="A25" s="0" t="s">
        <v>17</v>
      </c>
      <c r="B25" s="9" t="n">
        <v>0.01</v>
      </c>
      <c r="C25" s="2" t="s">
        <v>18</v>
      </c>
    </row>
    <row r="26" customFormat="false" ht="15" hidden="false" customHeight="false" outlineLevel="0" collapsed="false">
      <c r="A26" s="0" t="s">
        <v>19</v>
      </c>
      <c r="B26" s="9" t="n">
        <v>0.07</v>
      </c>
      <c r="C26" s="2" t="s">
        <v>20</v>
      </c>
    </row>
    <row r="28" customFormat="false" ht="15" hidden="false" customHeight="false" outlineLevel="0" collapsed="false">
      <c r="A28" s="10" t="s">
        <v>21</v>
      </c>
      <c r="B28" s="11"/>
      <c r="C28" s="11"/>
    </row>
    <row r="29" customFormat="false" ht="15" hidden="false" customHeight="false" outlineLevel="0" collapsed="false">
      <c r="A29" s="0" t="s">
        <v>22</v>
      </c>
      <c r="B29" s="12" t="n">
        <v>75000</v>
      </c>
      <c r="C29" s="2" t="s">
        <v>23</v>
      </c>
    </row>
    <row r="30" customFormat="false" ht="15" hidden="false" customHeight="false" outlineLevel="0" collapsed="false">
      <c r="A30" s="0" t="s">
        <v>24</v>
      </c>
      <c r="B30" s="12" t="n">
        <v>22500</v>
      </c>
      <c r="C30" s="2" t="s">
        <v>25</v>
      </c>
    </row>
    <row r="31" customFormat="false" ht="15" hidden="false" customHeight="false" outlineLevel="0" collapsed="false">
      <c r="A31" s="0" t="s">
        <v>26</v>
      </c>
      <c r="B31" s="12" t="n">
        <v>97500</v>
      </c>
      <c r="C31" s="2" t="s">
        <v>27</v>
      </c>
    </row>
    <row r="33" customFormat="false" ht="15" hidden="false" customHeight="false" outlineLevel="0" collapsed="false">
      <c r="A33" s="0" t="s">
        <v>28</v>
      </c>
      <c r="B33" s="12" t="n">
        <v>2500</v>
      </c>
      <c r="C33" s="2" t="s">
        <v>29</v>
      </c>
    </row>
    <row r="34" customFormat="false" ht="15" hidden="false" customHeight="false" outlineLevel="0" collapsed="false">
      <c r="A34" s="0" t="s">
        <v>30</v>
      </c>
      <c r="B34" s="12" t="n">
        <v>1000</v>
      </c>
      <c r="C34" s="2" t="s">
        <v>31</v>
      </c>
    </row>
    <row r="35" customFormat="false" ht="15" hidden="false" customHeight="false" outlineLevel="0" collapsed="false">
      <c r="A35" s="0" t="s">
        <v>32</v>
      </c>
      <c r="B35" s="12" t="n">
        <v>500</v>
      </c>
      <c r="C35" s="2" t="s">
        <v>33</v>
      </c>
    </row>
    <row r="36" customFormat="false" ht="15" hidden="false" customHeight="false" outlineLevel="0" collapsed="false">
      <c r="A36" s="0" t="s">
        <v>34</v>
      </c>
      <c r="B36" s="12" t="n">
        <v>200</v>
      </c>
      <c r="C36" s="2" t="s">
        <v>35</v>
      </c>
    </row>
    <row r="38" customFormat="false" ht="15" hidden="false" customHeight="false" outlineLevel="0" collapsed="false">
      <c r="A38" s="0" t="s">
        <v>36</v>
      </c>
      <c r="B38" s="12" t="n">
        <v>300</v>
      </c>
      <c r="C38" s="2" t="s">
        <v>37</v>
      </c>
    </row>
    <row r="39" customFormat="false" ht="15" hidden="false" customHeight="false" outlineLevel="0" collapsed="false">
      <c r="A39" s="0" t="s">
        <v>38</v>
      </c>
      <c r="B39" s="12" t="n">
        <v>400</v>
      </c>
      <c r="C39" s="2" t="s">
        <v>39</v>
      </c>
    </row>
    <row r="40" customFormat="false" ht="15" hidden="false" customHeight="false" outlineLevel="0" collapsed="false">
      <c r="A40" s="0" t="s">
        <v>40</v>
      </c>
      <c r="B40" s="12" t="n">
        <v>150</v>
      </c>
      <c r="C40" s="2" t="s">
        <v>41</v>
      </c>
    </row>
    <row r="41" customFormat="false" ht="15" hidden="false" customHeight="false" outlineLevel="0" collapsed="false">
      <c r="A41" s="0" t="s">
        <v>42</v>
      </c>
      <c r="B41" s="12" t="n">
        <v>300</v>
      </c>
      <c r="C4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D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</row>
    <row r="5" customFormat="false" ht="15" hidden="false" customHeight="false" outlineLevel="0" collapsed="false">
      <c r="A5" s="13" t="s">
        <v>49</v>
      </c>
    </row>
    <row r="6" customFormat="false" ht="15" hidden="false" customHeight="false" outlineLevel="0" collapsed="false">
      <c r="A6" s="0" t="s">
        <v>50</v>
      </c>
      <c r="B6" s="14" t="n">
        <v>0</v>
      </c>
    </row>
    <row r="7" customFormat="false" ht="15" hidden="false" customHeight="false" outlineLevel="0" collapsed="false">
      <c r="A7" s="0" t="s">
        <v>51</v>
      </c>
      <c r="B7" s="14" t="n">
        <v>5332.5</v>
      </c>
    </row>
    <row r="8" customFormat="false" ht="15" hidden="false" customHeight="false" outlineLevel="0" collapsed="false">
      <c r="A8" s="0" t="s">
        <v>52</v>
      </c>
      <c r="B8" s="14" t="n">
        <v>4989.6</v>
      </c>
    </row>
    <row r="9" customFormat="false" ht="15" hidden="false" customHeight="false" outlineLevel="0" collapsed="false">
      <c r="A9" s="0" t="s">
        <v>53</v>
      </c>
      <c r="B9" s="14" t="n">
        <v>3171.15</v>
      </c>
    </row>
    <row r="10" customFormat="false" ht="15" hidden="false" customHeight="false" outlineLevel="0" collapsed="false">
      <c r="A10" s="15" t="s">
        <v>54</v>
      </c>
      <c r="B10" s="16" t="n">
        <f aca="false">SUM(B6:B9)</f>
        <v>13493.25</v>
      </c>
      <c r="C10" s="16" t="n">
        <f aca="false">B10*12</f>
        <v>161919</v>
      </c>
      <c r="D10" s="15"/>
    </row>
    <row r="12" customFormat="false" ht="15" hidden="false" customHeight="false" outlineLevel="0" collapsed="false">
      <c r="A12" s="13" t="s">
        <v>55</v>
      </c>
    </row>
    <row r="13" customFormat="false" ht="15" hidden="false" customHeight="false" outlineLevel="0" collapsed="false">
      <c r="A13" s="0" t="s">
        <v>56</v>
      </c>
      <c r="B13" s="14" t="n">
        <v>0</v>
      </c>
    </row>
    <row r="14" customFormat="false" ht="15" hidden="false" customHeight="false" outlineLevel="0" collapsed="false">
      <c r="A14" s="0" t="s">
        <v>57</v>
      </c>
      <c r="B14" s="14" t="n">
        <v>355.5</v>
      </c>
    </row>
    <row r="15" customFormat="false" ht="15" hidden="false" customHeight="false" outlineLevel="0" collapsed="false">
      <c r="A15" s="0" t="s">
        <v>58</v>
      </c>
      <c r="B15" s="14" t="n">
        <v>1386</v>
      </c>
    </row>
    <row r="16" customFormat="false" ht="15" hidden="false" customHeight="false" outlineLevel="0" collapsed="false">
      <c r="A16" s="0" t="s">
        <v>59</v>
      </c>
      <c r="B16" s="14" t="n">
        <v>5285.25</v>
      </c>
    </row>
    <row r="17" customFormat="false" ht="15" hidden="false" customHeight="false" outlineLevel="0" collapsed="false">
      <c r="A17" s="15" t="s">
        <v>60</v>
      </c>
      <c r="B17" s="16" t="n">
        <f aca="false">SUM(B13:B16)</f>
        <v>7026.75</v>
      </c>
      <c r="C17" s="16" t="n">
        <f aca="false">B17*12</f>
        <v>84321</v>
      </c>
      <c r="D17" s="15"/>
    </row>
    <row r="19" customFormat="false" ht="15" hidden="false" customHeight="false" outlineLevel="0" collapsed="false">
      <c r="A19" s="13" t="s">
        <v>61</v>
      </c>
    </row>
    <row r="20" customFormat="false" ht="15" hidden="false" customHeight="false" outlineLevel="0" collapsed="false">
      <c r="A20" s="0" t="s">
        <v>62</v>
      </c>
      <c r="B20" s="14" t="n">
        <v>0</v>
      </c>
    </row>
    <row r="21" customFormat="false" ht="15" hidden="false" customHeight="false" outlineLevel="0" collapsed="false">
      <c r="A21" s="0" t="s">
        <v>63</v>
      </c>
      <c r="B21" s="14" t="n">
        <v>10665</v>
      </c>
    </row>
    <row r="22" customFormat="false" ht="15" hidden="false" customHeight="false" outlineLevel="0" collapsed="false">
      <c r="A22" s="0" t="s">
        <v>64</v>
      </c>
      <c r="B22" s="14" t="n">
        <v>9979.2</v>
      </c>
    </row>
    <row r="23" customFormat="false" ht="15" hidden="false" customHeight="false" outlineLevel="0" collapsed="false">
      <c r="A23" s="0" t="s">
        <v>65</v>
      </c>
      <c r="B23" s="14" t="n">
        <v>6342.3</v>
      </c>
    </row>
    <row r="24" customFormat="false" ht="15" hidden="false" customHeight="false" outlineLevel="0" collapsed="false">
      <c r="A24" s="15" t="s">
        <v>66</v>
      </c>
      <c r="B24" s="16" t="n">
        <f aca="false">SUM(B20:B23)</f>
        <v>26986.5</v>
      </c>
      <c r="C24" s="16" t="n">
        <f aca="false">B24*12</f>
        <v>323838</v>
      </c>
      <c r="D24" s="15"/>
    </row>
    <row r="26" customFormat="false" ht="15" hidden="false" customHeight="false" outlineLevel="0" collapsed="false">
      <c r="A26" s="13" t="s">
        <v>67</v>
      </c>
    </row>
    <row r="27" customFormat="false" ht="15" hidden="false" customHeight="false" outlineLevel="0" collapsed="false">
      <c r="A27" s="0" t="s">
        <v>68</v>
      </c>
      <c r="B27" s="14" t="n">
        <v>0</v>
      </c>
    </row>
    <row r="28" customFormat="false" ht="15" hidden="false" customHeight="false" outlineLevel="0" collapsed="false">
      <c r="A28" s="0" t="s">
        <v>69</v>
      </c>
      <c r="B28" s="14" t="n">
        <v>711</v>
      </c>
    </row>
    <row r="29" customFormat="false" ht="15" hidden="false" customHeight="false" outlineLevel="0" collapsed="false">
      <c r="A29" s="0" t="s">
        <v>70</v>
      </c>
      <c r="B29" s="14" t="n">
        <v>2772</v>
      </c>
    </row>
    <row r="30" customFormat="false" ht="15" hidden="false" customHeight="false" outlineLevel="0" collapsed="false">
      <c r="A30" s="0" t="s">
        <v>71</v>
      </c>
      <c r="B30" s="14" t="n">
        <v>10570.5</v>
      </c>
    </row>
    <row r="31" customFormat="false" ht="15" hidden="false" customHeight="false" outlineLevel="0" collapsed="false">
      <c r="A31" s="15" t="s">
        <v>72</v>
      </c>
      <c r="B31" s="16" t="n">
        <f aca="false">SUM(B27:B30)</f>
        <v>14053.5</v>
      </c>
      <c r="C31" s="16" t="n">
        <f aca="false">B31*12</f>
        <v>168642</v>
      </c>
      <c r="D31" s="15"/>
    </row>
    <row r="33" customFormat="false" ht="15" hidden="false" customHeight="false" outlineLevel="0" collapsed="false">
      <c r="A33" s="17" t="s">
        <v>73</v>
      </c>
      <c r="B33" s="18" t="n">
        <f aca="false">B10+B17+B24+B31</f>
        <v>61560</v>
      </c>
      <c r="C33" s="18" t="n">
        <f aca="false">B33*12</f>
        <v>738720</v>
      </c>
      <c r="D33" s="17"/>
    </row>
    <row r="36" customFormat="false" ht="15" hidden="false" customHeight="false" outlineLevel="0" collapsed="false">
      <c r="A36" s="3" t="s">
        <v>74</v>
      </c>
      <c r="B36" s="3" t="s">
        <v>46</v>
      </c>
      <c r="C36" s="3" t="s">
        <v>47</v>
      </c>
      <c r="D36" s="4"/>
    </row>
    <row r="37" customFormat="false" ht="15" hidden="false" customHeight="false" outlineLevel="0" collapsed="false">
      <c r="A37" s="13" t="s">
        <v>75</v>
      </c>
    </row>
    <row r="38" customFormat="false" ht="15" hidden="false" customHeight="false" outlineLevel="0" collapsed="false">
      <c r="A38" s="0" t="s">
        <v>76</v>
      </c>
      <c r="B38" s="14" t="n">
        <v>498.96</v>
      </c>
    </row>
    <row r="39" customFormat="false" ht="15" hidden="false" customHeight="false" outlineLevel="0" collapsed="false">
      <c r="A39" s="0" t="s">
        <v>77</v>
      </c>
      <c r="B39" s="14" t="n">
        <v>358.92</v>
      </c>
    </row>
    <row r="40" customFormat="false" ht="15" hidden="false" customHeight="false" outlineLevel="0" collapsed="false">
      <c r="A40" s="0" t="s">
        <v>78</v>
      </c>
      <c r="B40" s="14" t="n">
        <v>19.7</v>
      </c>
    </row>
    <row r="41" customFormat="false" ht="15" hidden="false" customHeight="false" outlineLevel="0" collapsed="false">
      <c r="A41" s="0" t="s">
        <v>79</v>
      </c>
      <c r="B41" s="14" t="n">
        <v>1569.6</v>
      </c>
    </row>
    <row r="42" customFormat="false" ht="15" hidden="false" customHeight="false" outlineLevel="0" collapsed="false">
      <c r="A42" s="15" t="s">
        <v>80</v>
      </c>
      <c r="B42" s="16" t="n">
        <f aca="false">SUM(B38:B41)</f>
        <v>2447.18</v>
      </c>
      <c r="C42" s="16" t="n">
        <f aca="false">B42*12</f>
        <v>29366.16</v>
      </c>
      <c r="D42" s="15"/>
    </row>
    <row r="44" customFormat="false" ht="15" hidden="false" customHeight="false" outlineLevel="0" collapsed="false">
      <c r="A44" s="13" t="s">
        <v>81</v>
      </c>
    </row>
    <row r="45" customFormat="false" ht="15" hidden="false" customHeight="false" outlineLevel="0" collapsed="false">
      <c r="A45" s="0" t="s">
        <v>82</v>
      </c>
      <c r="B45" s="14" t="n">
        <v>1995.84</v>
      </c>
    </row>
    <row r="46" customFormat="false" ht="15" hidden="false" customHeight="false" outlineLevel="0" collapsed="false">
      <c r="A46" s="0" t="s">
        <v>83</v>
      </c>
      <c r="B46" s="14" t="n">
        <v>1435.68</v>
      </c>
    </row>
    <row r="47" customFormat="false" ht="15" hidden="false" customHeight="false" outlineLevel="0" collapsed="false">
      <c r="A47" s="0" t="s">
        <v>84</v>
      </c>
      <c r="B47" s="14" t="n">
        <v>78.8</v>
      </c>
    </row>
    <row r="48" customFormat="false" ht="15" hidden="false" customHeight="false" outlineLevel="0" collapsed="false">
      <c r="A48" s="0" t="s">
        <v>85</v>
      </c>
      <c r="B48" s="14" t="n">
        <v>6278.4</v>
      </c>
    </row>
    <row r="49" customFormat="false" ht="15" hidden="false" customHeight="false" outlineLevel="0" collapsed="false">
      <c r="A49" s="15" t="s">
        <v>86</v>
      </c>
      <c r="B49" s="16" t="n">
        <f aca="false">SUM(B45:B48)</f>
        <v>9788.72</v>
      </c>
      <c r="C49" s="16" t="n">
        <f aca="false">B49*12</f>
        <v>117464.64</v>
      </c>
      <c r="D49" s="15"/>
    </row>
    <row r="51" customFormat="false" ht="15" hidden="false" customHeight="false" outlineLevel="0" collapsed="false">
      <c r="A51" s="13" t="s">
        <v>87</v>
      </c>
    </row>
    <row r="52" customFormat="false" ht="15" hidden="false" customHeight="false" outlineLevel="0" collapsed="false">
      <c r="A52" s="0" t="s">
        <v>88</v>
      </c>
      <c r="B52" s="14" t="n">
        <v>50</v>
      </c>
    </row>
    <row r="53" customFormat="false" ht="15" hidden="false" customHeight="false" outlineLevel="0" collapsed="false">
      <c r="A53" s="0" t="s">
        <v>89</v>
      </c>
      <c r="B53" s="14" t="n">
        <v>40</v>
      </c>
    </row>
    <row r="54" customFormat="false" ht="15" hidden="false" customHeight="false" outlineLevel="0" collapsed="false">
      <c r="A54" s="0" t="s">
        <v>90</v>
      </c>
      <c r="B54" s="14" t="n">
        <v>30</v>
      </c>
    </row>
    <row r="55" customFormat="false" ht="15" hidden="false" customHeight="false" outlineLevel="0" collapsed="false">
      <c r="A55" s="0" t="s">
        <v>91</v>
      </c>
      <c r="B55" s="14" t="n">
        <v>20</v>
      </c>
    </row>
    <row r="56" customFormat="false" ht="15" hidden="false" customHeight="false" outlineLevel="0" collapsed="false">
      <c r="A56" s="0" t="s">
        <v>92</v>
      </c>
      <c r="B56" s="14" t="n">
        <v>2</v>
      </c>
    </row>
    <row r="57" customFormat="false" ht="15" hidden="false" customHeight="false" outlineLevel="0" collapsed="false">
      <c r="A57" s="0" t="s">
        <v>93</v>
      </c>
      <c r="B57" s="14" t="n">
        <v>15</v>
      </c>
    </row>
    <row r="58" customFormat="false" ht="15" hidden="false" customHeight="false" outlineLevel="0" collapsed="false">
      <c r="A58" s="15" t="s">
        <v>94</v>
      </c>
      <c r="B58" s="16" t="n">
        <f aca="false">SUM(B52:B57)</f>
        <v>157</v>
      </c>
      <c r="C58" s="16" t="n">
        <f aca="false">B58*12</f>
        <v>1884</v>
      </c>
      <c r="D58" s="15"/>
    </row>
    <row r="60" customFormat="false" ht="15" hidden="false" customHeight="false" outlineLevel="0" collapsed="false">
      <c r="A60" s="6" t="s">
        <v>95</v>
      </c>
      <c r="B60" s="14" t="n">
        <f aca="false">B33*0.029+6750*0.3</f>
        <v>3810.24</v>
      </c>
      <c r="C60" s="19" t="n">
        <f aca="false">B60*12</f>
        <v>45722.88</v>
      </c>
      <c r="D60" s="20" t="s">
        <v>96</v>
      </c>
    </row>
    <row r="62" customFormat="false" ht="15" hidden="false" customHeight="false" outlineLevel="0" collapsed="false">
      <c r="A62" s="21" t="s">
        <v>97</v>
      </c>
      <c r="B62" s="22" t="n">
        <f aca="false">B42+B49+B58+B60</f>
        <v>16203.14</v>
      </c>
      <c r="C62" s="22" t="n">
        <f aca="false">B62*12</f>
        <v>194437.68</v>
      </c>
    </row>
    <row r="64" customFormat="false" ht="15" hidden="false" customHeight="false" outlineLevel="0" collapsed="false">
      <c r="A64" s="23" t="s">
        <v>98</v>
      </c>
      <c r="B64" s="24" t="n">
        <f aca="false">B33-B62</f>
        <v>45356.86</v>
      </c>
      <c r="C64" s="24" t="n">
        <f aca="false">B64*12</f>
        <v>544282.32</v>
      </c>
      <c r="D64" s="25"/>
    </row>
    <row r="65" customFormat="false" ht="15" hidden="false" customHeight="false" outlineLevel="0" collapsed="false">
      <c r="A65" s="2" t="s">
        <v>99</v>
      </c>
      <c r="B65" s="26" t="n">
        <f aca="false">B64/B33</f>
        <v>0.73679109811566</v>
      </c>
    </row>
    <row r="68" customFormat="false" ht="15" hidden="false" customHeight="false" outlineLevel="0" collapsed="false">
      <c r="A68" s="10" t="s">
        <v>100</v>
      </c>
      <c r="B68" s="10" t="s">
        <v>46</v>
      </c>
      <c r="C68" s="10" t="s">
        <v>47</v>
      </c>
      <c r="D68" s="11"/>
    </row>
    <row r="69" customFormat="false" ht="15" hidden="false" customHeight="false" outlineLevel="0" collapsed="false">
      <c r="A69" s="13" t="s">
        <v>101</v>
      </c>
    </row>
    <row r="70" customFormat="false" ht="15" hidden="false" customHeight="false" outlineLevel="0" collapsed="false">
      <c r="A70" s="0" t="s">
        <v>102</v>
      </c>
      <c r="B70" s="14" t="n">
        <v>6250</v>
      </c>
      <c r="D70" s="20" t="s">
        <v>103</v>
      </c>
    </row>
    <row r="71" customFormat="false" ht="15" hidden="false" customHeight="false" outlineLevel="0" collapsed="false">
      <c r="A71" s="0" t="s">
        <v>104</v>
      </c>
      <c r="B71" s="14" t="n">
        <v>1875</v>
      </c>
      <c r="D71" s="20" t="s">
        <v>105</v>
      </c>
    </row>
    <row r="72" customFormat="false" ht="15" hidden="false" customHeight="false" outlineLevel="0" collapsed="false">
      <c r="A72" s="15" t="s">
        <v>106</v>
      </c>
      <c r="B72" s="16" t="n">
        <f aca="false">SUM(B70:B71)</f>
        <v>8125</v>
      </c>
      <c r="C72" s="16" t="n">
        <f aca="false">B72*12</f>
        <v>97500</v>
      </c>
      <c r="D72" s="15"/>
    </row>
    <row r="74" customFormat="false" ht="15" hidden="false" customHeight="false" outlineLevel="0" collapsed="false">
      <c r="A74" s="13" t="s">
        <v>107</v>
      </c>
    </row>
    <row r="75" customFormat="false" ht="15" hidden="false" customHeight="false" outlineLevel="0" collapsed="false">
      <c r="A75" s="0" t="s">
        <v>108</v>
      </c>
      <c r="B75" s="14" t="n">
        <v>2500</v>
      </c>
      <c r="D75" s="20" t="s">
        <v>109</v>
      </c>
    </row>
    <row r="76" customFormat="false" ht="15" hidden="false" customHeight="false" outlineLevel="0" collapsed="false">
      <c r="A76" s="0" t="s">
        <v>110</v>
      </c>
      <c r="B76" s="14" t="n">
        <v>1000</v>
      </c>
      <c r="D76" s="20" t="s">
        <v>111</v>
      </c>
    </row>
    <row r="77" customFormat="false" ht="15" hidden="false" customHeight="false" outlineLevel="0" collapsed="false">
      <c r="A77" s="0" t="s">
        <v>112</v>
      </c>
      <c r="B77" s="14" t="n">
        <v>500</v>
      </c>
      <c r="D77" s="20" t="s">
        <v>113</v>
      </c>
    </row>
    <row r="78" customFormat="false" ht="15" hidden="false" customHeight="false" outlineLevel="0" collapsed="false">
      <c r="A78" s="0" t="s">
        <v>114</v>
      </c>
      <c r="B78" s="14" t="n">
        <v>200</v>
      </c>
      <c r="D78" s="20" t="s">
        <v>115</v>
      </c>
    </row>
    <row r="79" customFormat="false" ht="15" hidden="false" customHeight="false" outlineLevel="0" collapsed="false">
      <c r="A79" s="0" t="s">
        <v>116</v>
      </c>
      <c r="B79" s="14" t="n">
        <v>300</v>
      </c>
      <c r="D79" s="20" t="s">
        <v>117</v>
      </c>
    </row>
    <row r="80" customFormat="false" ht="15" hidden="false" customHeight="false" outlineLevel="0" collapsed="false">
      <c r="A80" s="15" t="s">
        <v>118</v>
      </c>
      <c r="B80" s="16" t="n">
        <f aca="false">SUM(B75:B79)</f>
        <v>4500</v>
      </c>
      <c r="C80" s="16" t="n">
        <f aca="false">B80*12</f>
        <v>54000</v>
      </c>
      <c r="D80" s="15"/>
    </row>
    <row r="82" customFormat="false" ht="15" hidden="false" customHeight="false" outlineLevel="0" collapsed="false">
      <c r="A82" s="13" t="s">
        <v>119</v>
      </c>
    </row>
    <row r="83" customFormat="false" ht="15" hidden="false" customHeight="false" outlineLevel="0" collapsed="false">
      <c r="A83" s="0" t="s">
        <v>120</v>
      </c>
      <c r="B83" s="14" t="n">
        <v>300</v>
      </c>
      <c r="D83" s="20" t="s">
        <v>121</v>
      </c>
    </row>
    <row r="84" customFormat="false" ht="15" hidden="false" customHeight="false" outlineLevel="0" collapsed="false">
      <c r="A84" s="0" t="s">
        <v>122</v>
      </c>
      <c r="B84" s="14" t="n">
        <v>400</v>
      </c>
      <c r="D84" s="20" t="s">
        <v>123</v>
      </c>
    </row>
    <row r="85" customFormat="false" ht="15" hidden="false" customHeight="false" outlineLevel="0" collapsed="false">
      <c r="A85" s="0" t="s">
        <v>40</v>
      </c>
      <c r="B85" s="14" t="n">
        <v>150</v>
      </c>
      <c r="D85" s="20" t="s">
        <v>124</v>
      </c>
    </row>
    <row r="86" customFormat="false" ht="15" hidden="false" customHeight="false" outlineLevel="0" collapsed="false">
      <c r="A86" s="0" t="s">
        <v>42</v>
      </c>
      <c r="B86" s="14" t="n">
        <v>300</v>
      </c>
      <c r="D86" s="20" t="s">
        <v>125</v>
      </c>
    </row>
    <row r="87" customFormat="false" ht="15" hidden="false" customHeight="false" outlineLevel="0" collapsed="false">
      <c r="A87" s="15" t="s">
        <v>126</v>
      </c>
      <c r="B87" s="16" t="n">
        <f aca="false">SUM(B83:B86)</f>
        <v>1150</v>
      </c>
      <c r="C87" s="16" t="n">
        <f aca="false">B87*12</f>
        <v>13800</v>
      </c>
      <c r="D87" s="15"/>
    </row>
    <row r="89" customFormat="false" ht="15" hidden="false" customHeight="false" outlineLevel="0" collapsed="false">
      <c r="A89" s="10" t="s">
        <v>127</v>
      </c>
      <c r="B89" s="27" t="n">
        <f aca="false">B72+B80+B87</f>
        <v>13775</v>
      </c>
      <c r="C89" s="27" t="n">
        <f aca="false">B89*12</f>
        <v>165300</v>
      </c>
      <c r="D89" s="11"/>
    </row>
    <row r="92" customFormat="false" ht="15" hidden="false" customHeight="false" outlineLevel="0" collapsed="false">
      <c r="A92" s="28" t="s">
        <v>128</v>
      </c>
      <c r="B92" s="29" t="n">
        <f aca="false">B62+B89</f>
        <v>29978.14</v>
      </c>
      <c r="C92" s="29" t="n">
        <f aca="false">B92*12</f>
        <v>359737.68</v>
      </c>
      <c r="D92" s="28"/>
    </row>
    <row r="95" customFormat="false" ht="15" hidden="false" customHeight="false" outlineLevel="0" collapsed="false">
      <c r="A95" s="30" t="s">
        <v>129</v>
      </c>
      <c r="B95" s="31" t="n">
        <f aca="false">B33-B92</f>
        <v>31581.86</v>
      </c>
      <c r="C95" s="31" t="n">
        <f aca="false">B95*12</f>
        <v>378982.32</v>
      </c>
      <c r="D95" s="30"/>
    </row>
    <row r="97" customFormat="false" ht="15" hidden="false" customHeight="false" outlineLevel="0" collapsed="false">
      <c r="A97" s="6" t="s">
        <v>130</v>
      </c>
      <c r="B97" s="32" t="n">
        <f aca="false">B95/B33</f>
        <v>0.513025666016894</v>
      </c>
    </row>
    <row r="98" customFormat="false" ht="15" hidden="false" customHeight="false" outlineLevel="0" collapsed="false">
      <c r="A98" s="2" t="s">
        <v>131</v>
      </c>
      <c r="B98" s="26" t="n">
        <f aca="false">B64/B33</f>
        <v>0.73679109811566</v>
      </c>
    </row>
    <row r="99" customFormat="false" ht="15" hidden="false" customHeight="false" outlineLevel="0" collapsed="false">
      <c r="A99" s="2" t="s">
        <v>132</v>
      </c>
      <c r="B99" s="26" t="n">
        <f aca="false">(B42+B49)/B33</f>
        <v>0.198763807667316</v>
      </c>
    </row>
    <row r="100" customFormat="false" ht="15" hidden="false" customHeight="false" outlineLevel="0" collapsed="false">
      <c r="A100" s="2" t="s">
        <v>133</v>
      </c>
      <c r="B100" s="26" t="n">
        <f aca="false">B89/B33</f>
        <v>0.223765432098765</v>
      </c>
    </row>
    <row r="101" customFormat="false" ht="15" hidden="false" customHeight="false" outlineLevel="0" collapsed="false">
      <c r="A101" s="2" t="s">
        <v>134</v>
      </c>
      <c r="B101" s="33" t="n">
        <f aca="false">B33/15000</f>
        <v>4.104</v>
      </c>
    </row>
    <row r="102" customFormat="false" ht="15" hidden="false" customHeight="false" outlineLevel="0" collapsed="false">
      <c r="A102" s="2" t="s">
        <v>135</v>
      </c>
      <c r="B102" s="33" t="n">
        <f aca="false">B92/15000</f>
        <v>1.99854266666667</v>
      </c>
    </row>
    <row r="104" customFormat="false" ht="15" hidden="false" customHeight="false" outlineLevel="0" collapsed="false">
      <c r="A104" s="3" t="s">
        <v>136</v>
      </c>
      <c r="B104" s="4"/>
      <c r="C104" s="4"/>
      <c r="D104" s="4"/>
    </row>
    <row r="105" customFormat="false" ht="15" hidden="false" customHeight="false" outlineLevel="0" collapsed="false">
      <c r="A105" s="34"/>
      <c r="B105" s="34" t="s">
        <v>46</v>
      </c>
      <c r="C105" s="34" t="s">
        <v>47</v>
      </c>
      <c r="D105" s="34" t="s">
        <v>137</v>
      </c>
    </row>
    <row r="106" customFormat="false" ht="15" hidden="false" customHeight="false" outlineLevel="0" collapsed="false">
      <c r="A106" s="0" t="s">
        <v>138</v>
      </c>
      <c r="B106" s="19" t="n">
        <f aca="false">B42</f>
        <v>2447.18</v>
      </c>
      <c r="C106" s="19" t="n">
        <f aca="false">B106*12</f>
        <v>29366.16</v>
      </c>
      <c r="D106" s="26" t="n">
        <f aca="false">B106/B92</f>
        <v>0.0816321492927847</v>
      </c>
    </row>
    <row r="107" customFormat="false" ht="15" hidden="false" customHeight="false" outlineLevel="0" collapsed="false">
      <c r="A107" s="0" t="s">
        <v>139</v>
      </c>
      <c r="B107" s="19" t="n">
        <f aca="false">B49</f>
        <v>9788.72</v>
      </c>
      <c r="C107" s="19" t="n">
        <f aca="false">B107*12</f>
        <v>117464.64</v>
      </c>
      <c r="D107" s="26" t="n">
        <f aca="false">B107/B92</f>
        <v>0.326528597171139</v>
      </c>
    </row>
    <row r="108" customFormat="false" ht="15" hidden="false" customHeight="false" outlineLevel="0" collapsed="false">
      <c r="A108" s="0" t="s">
        <v>87</v>
      </c>
      <c r="B108" s="19" t="n">
        <f aca="false">B58</f>
        <v>157</v>
      </c>
      <c r="C108" s="19" t="n">
        <f aca="false">B108*12</f>
        <v>1884</v>
      </c>
      <c r="D108" s="26" t="n">
        <f aca="false">B108/B92</f>
        <v>0.00523714946958017</v>
      </c>
    </row>
    <row r="109" customFormat="false" ht="15" hidden="false" customHeight="false" outlineLevel="0" collapsed="false">
      <c r="A109" s="0" t="s">
        <v>140</v>
      </c>
      <c r="B109" s="19" t="n">
        <f aca="false">B60</f>
        <v>3810.24</v>
      </c>
      <c r="C109" s="19" t="n">
        <f aca="false">B109*12</f>
        <v>45722.88</v>
      </c>
      <c r="D109" s="26" t="n">
        <f aca="false">B109/B92</f>
        <v>0.127100613980721</v>
      </c>
    </row>
    <row r="110" customFormat="false" ht="15" hidden="false" customHeight="false" outlineLevel="0" collapsed="false">
      <c r="A110" s="0" t="s">
        <v>141</v>
      </c>
      <c r="B110" s="19" t="n">
        <f aca="false">B72</f>
        <v>8125</v>
      </c>
      <c r="C110" s="19" t="n">
        <f aca="false">B110*12</f>
        <v>97500</v>
      </c>
      <c r="D110" s="26" t="n">
        <f aca="false">B110/B92</f>
        <v>0.271030824460757</v>
      </c>
    </row>
    <row r="111" customFormat="false" ht="15" hidden="false" customHeight="false" outlineLevel="0" collapsed="false">
      <c r="A111" s="0" t="s">
        <v>107</v>
      </c>
      <c r="B111" s="19" t="n">
        <f aca="false">B80</f>
        <v>4500</v>
      </c>
      <c r="C111" s="19" t="n">
        <f aca="false">B111*12</f>
        <v>54000</v>
      </c>
      <c r="D111" s="26" t="n">
        <f aca="false">B111/B92</f>
        <v>0.150109379701342</v>
      </c>
    </row>
    <row r="112" customFormat="false" ht="15" hidden="false" customHeight="false" outlineLevel="0" collapsed="false">
      <c r="A112" s="0" t="s">
        <v>142</v>
      </c>
      <c r="B112" s="19" t="n">
        <f aca="false">B87</f>
        <v>1150</v>
      </c>
      <c r="C112" s="19" t="n">
        <f aca="false">B112*12</f>
        <v>13800</v>
      </c>
      <c r="D112" s="26" t="n">
        <f aca="false">B112/B92</f>
        <v>0.0383612859236764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34"/>
      <c r="B3" s="34" t="s">
        <v>144</v>
      </c>
      <c r="C3" s="34" t="s">
        <v>145</v>
      </c>
      <c r="D3" s="34" t="s">
        <v>146</v>
      </c>
      <c r="E3" s="34" t="s">
        <v>48</v>
      </c>
    </row>
    <row r="4" customFormat="false" ht="15" hidden="false" customHeight="false" outlineLevel="0" collapsed="false">
      <c r="A4" s="35" t="s">
        <v>147</v>
      </c>
      <c r="B4" s="0" t="s">
        <v>148</v>
      </c>
      <c r="C4" s="0" t="s">
        <v>149</v>
      </c>
      <c r="D4" s="0" t="s">
        <v>150</v>
      </c>
      <c r="E4" s="20"/>
    </row>
    <row r="5" customFormat="false" ht="15" hidden="false" customHeight="false" outlineLevel="0" collapsed="false">
      <c r="A5" s="35" t="s">
        <v>151</v>
      </c>
      <c r="B5" s="0" t="s">
        <v>152</v>
      </c>
      <c r="C5" s="0" t="s">
        <v>153</v>
      </c>
      <c r="D5" s="0" t="s">
        <v>154</v>
      </c>
      <c r="E5" s="20" t="s">
        <v>155</v>
      </c>
    </row>
    <row r="6" customFormat="false" ht="15" hidden="false" customHeight="false" outlineLevel="0" collapsed="false">
      <c r="A6" s="35" t="s">
        <v>156</v>
      </c>
      <c r="E6" s="20"/>
    </row>
    <row r="7" customFormat="false" ht="15" hidden="false" customHeight="false" outlineLevel="0" collapsed="false">
      <c r="A7" s="35" t="s">
        <v>157</v>
      </c>
      <c r="E7" s="20"/>
    </row>
    <row r="8" customFormat="false" ht="15" hidden="false" customHeight="false" outlineLevel="0" collapsed="false">
      <c r="E8" s="20"/>
    </row>
    <row r="9" customFormat="false" ht="15" hidden="false" customHeight="false" outlineLevel="0" collapsed="false">
      <c r="A9" s="35" t="s">
        <v>158</v>
      </c>
      <c r="E9" s="20"/>
    </row>
    <row r="10" customFormat="false" ht="15" hidden="false" customHeight="false" outlineLevel="0" collapsed="false">
      <c r="A10" s="0" t="s">
        <v>159</v>
      </c>
      <c r="B10" s="0" t="s">
        <v>160</v>
      </c>
      <c r="E10" s="20" t="s">
        <v>161</v>
      </c>
    </row>
    <row r="11" customFormat="false" ht="15" hidden="false" customHeight="false" outlineLevel="0" collapsed="false">
      <c r="A11" s="0" t="s">
        <v>162</v>
      </c>
      <c r="B11" s="0" t="s">
        <v>163</v>
      </c>
      <c r="E11" s="20" t="s">
        <v>164</v>
      </c>
    </row>
    <row r="12" customFormat="false" ht="15" hidden="false" customHeight="false" outlineLevel="0" collapsed="false">
      <c r="A12" s="0" t="s">
        <v>165</v>
      </c>
      <c r="B12" s="0" t="s">
        <v>166</v>
      </c>
      <c r="E12" s="20"/>
    </row>
    <row r="13" customFormat="false" ht="15" hidden="false" customHeight="false" outlineLevel="0" collapsed="false">
      <c r="E13" s="20"/>
    </row>
    <row r="14" customFormat="false" ht="15" hidden="false" customHeight="false" outlineLevel="0" collapsed="false">
      <c r="A14" s="35" t="s">
        <v>167</v>
      </c>
      <c r="E14" s="20"/>
    </row>
    <row r="15" customFormat="false" ht="15" hidden="false" customHeight="false" outlineLevel="0" collapsed="false">
      <c r="A15" s="0" t="s">
        <v>159</v>
      </c>
      <c r="C15" s="0" t="s">
        <v>168</v>
      </c>
      <c r="E15" s="20" t="s">
        <v>169</v>
      </c>
    </row>
    <row r="16" customFormat="false" ht="15" hidden="false" customHeight="false" outlineLevel="0" collapsed="false">
      <c r="A16" s="0" t="s">
        <v>162</v>
      </c>
      <c r="C16" s="0" t="s">
        <v>170</v>
      </c>
      <c r="E16" s="20" t="s">
        <v>169</v>
      </c>
    </row>
    <row r="17" customFormat="false" ht="15" hidden="false" customHeight="false" outlineLevel="0" collapsed="false">
      <c r="A17" s="0" t="s">
        <v>165</v>
      </c>
      <c r="C17" s="0" t="s">
        <v>171</v>
      </c>
      <c r="E17" s="20"/>
    </row>
    <row r="18" customFormat="false" ht="15" hidden="false" customHeight="false" outlineLevel="0" collapsed="false">
      <c r="E18" s="20"/>
    </row>
    <row r="19" customFormat="false" ht="15" hidden="false" customHeight="false" outlineLevel="0" collapsed="false">
      <c r="A19" s="35" t="s">
        <v>172</v>
      </c>
      <c r="E19" s="20"/>
    </row>
    <row r="20" customFormat="false" ht="15" hidden="false" customHeight="false" outlineLevel="0" collapsed="false">
      <c r="A20" s="0" t="s">
        <v>159</v>
      </c>
      <c r="D20" s="0" t="s">
        <v>173</v>
      </c>
      <c r="E20" s="20" t="s">
        <v>174</v>
      </c>
    </row>
    <row r="21" customFormat="false" ht="15" hidden="false" customHeight="false" outlineLevel="0" collapsed="false">
      <c r="A21" s="0" t="s">
        <v>162</v>
      </c>
      <c r="D21" s="0" t="s">
        <v>175</v>
      </c>
      <c r="E21" s="20" t="s">
        <v>176</v>
      </c>
    </row>
    <row r="22" customFormat="false" ht="15" hidden="false" customHeight="false" outlineLevel="0" collapsed="false">
      <c r="A22" s="0" t="s">
        <v>165</v>
      </c>
      <c r="D22" s="0" t="s">
        <v>177</v>
      </c>
      <c r="E22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2026-03-06T18:08:02Z</dcterms:created>
  <dc:creator>openpyxl</dc:creator>
  <dc:description/>
  <dc:language>en-US</dc:language>
  <cp:lastModifiedBy/>
  <dcterms:modified xsi:type="dcterms:W3CDTF">2026-03-06T18:08:02Z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