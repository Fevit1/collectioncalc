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Summary" sheetId="2" state="visible" r:id="rId4"/>
    <sheet name="Unit Econom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<sst xmlns="http://schemas.openxmlformats.org/spreadsheetml/2006/main" count="152" uniqueCount="139">
  <si>
    <t xml:space="preserve">SLAB WORTHY — YEAR 1 P&amp;L (COMICS + BASEBALL CARDS)</t>
  </si>
  <si>
    <t xml:space="preserve">USER MIX</t>
  </si>
  <si>
    <t xml:space="preserve">Comic collectors (individual)</t>
  </si>
  <si>
    <t xml:space="preserve">Comic shops</t>
  </si>
  <si>
    <t xml:space="preserve">Baseball card collectors (individual)</t>
  </si>
  <si>
    <t xml:space="preserve">Baseball card shops</t>
  </si>
  <si>
    <t xml:space="preserve">TOTAL USERS</t>
  </si>
  <si>
    <t xml:space="preserve">PLAN DISTRIBUTION — INDIVIDUALS (Comics 4,500 / Cards 9,000)</t>
  </si>
  <si>
    <t xml:space="preserve">  Free</t>
  </si>
  <si>
    <t xml:space="preserve">  Pro</t>
  </si>
  <si>
    <t xml:space="preserve">  Guard</t>
  </si>
  <si>
    <t xml:space="preserve">  Dealer</t>
  </si>
  <si>
    <t xml:space="preserve">PLAN DISTRIBUTION — SHOPS (Comics 500 / Cards 1,000)</t>
  </si>
  <si>
    <t xml:space="preserve">BILLING MIX</t>
  </si>
  <si>
    <t xml:space="preserve">  % choosing annual billing</t>
  </si>
  <si>
    <t xml:space="preserve">Annual gets ~17% discount</t>
  </si>
  <si>
    <t xml:space="preserve">API COST PER CALL</t>
  </si>
  <si>
    <t xml:space="preserve">  Comic — Grading (Sonnet 4 + Vision)</t>
  </si>
  <si>
    <t xml:space="preserve">~1,800 in + 2,048 out + image</t>
  </si>
  <si>
    <t xml:space="preserve">  Comic — Listing gen</t>
  </si>
  <si>
    <t xml:space="preserve">~350 in + 600 out</t>
  </si>
  <si>
    <t xml:space="preserve">  Comic — Slab Guard CV</t>
  </si>
  <si>
    <t xml:space="preserve">~500 in + 1,500 out + image</t>
  </si>
  <si>
    <t xml:space="preserve">  Comic — Signature match</t>
  </si>
  <si>
    <t xml:space="preserve">~500 in + 1,500 out</t>
  </si>
  <si>
    <t xml:space="preserve">  Card — Grading (2× — more detail)</t>
  </si>
  <si>
    <t xml:space="preserve">Double: more surface area analysis</t>
  </si>
  <si>
    <t xml:space="preserve">  Card — Listing gen (2×)</t>
  </si>
  <si>
    <t xml:space="preserve">Double: stats, condition, centering</t>
  </si>
  <si>
    <t xml:space="preserve">  Card — Guard CV (2×)</t>
  </si>
  <si>
    <t xml:space="preserve">Double: front+back matching</t>
  </si>
  <si>
    <t xml:space="preserve">  Card — Signature match (2×)</t>
  </si>
  <si>
    <t xml:space="preserve">Double: auto authentication</t>
  </si>
  <si>
    <t xml:space="preserve">USAGE PER USER/MONTH</t>
  </si>
  <si>
    <t xml:space="preserve">  Individual — Gradings/mo</t>
  </si>
  <si>
    <t xml:space="preserve">Both comics and cards</t>
  </si>
  <si>
    <t xml:space="preserve">  Individual — Listings/mo</t>
  </si>
  <si>
    <t xml:space="preserve">  Individual — CV checks/mo</t>
  </si>
  <si>
    <t xml:space="preserve">  Individual — Sig checks/mo</t>
  </si>
  <si>
    <t xml:space="preserve">  Shop — Gradings/mo</t>
  </si>
  <si>
    <t xml:space="preserve">High volume</t>
  </si>
  <si>
    <t xml:space="preserve">  Shop — Listings/mo</t>
  </si>
  <si>
    <t xml:space="preserve">  Shop — CV checks/mo</t>
  </si>
  <si>
    <t xml:space="preserve">  Shop — Sig checks/mo</t>
  </si>
  <si>
    <t xml:space="preserve">15,000 Users: 5,000 Comics + 10,000 Baseball Cards</t>
  </si>
  <si>
    <t xml:space="preserve">REVENUE</t>
  </si>
  <si>
    <t xml:space="preserve">Monthly</t>
  </si>
  <si>
    <t xml:space="preserve">Annual</t>
  </si>
  <si>
    <t xml:space="preserve">Notes</t>
  </si>
  <si>
    <t xml:space="preserve">Comic Collectors — Individuals (4,500)</t>
  </si>
  <si>
    <t xml:space="preserve">  Free (2,700 × $0)</t>
  </si>
  <si>
    <t xml:space="preserve">  Pro (1,125 users)</t>
  </si>
  <si>
    <t xml:space="preserve">  Guard (540 users)</t>
  </si>
  <si>
    <t xml:space="preserve">  Dealer (135 users)</t>
  </si>
  <si>
    <t xml:space="preserve">  Subtotal — Comic Individuals</t>
  </si>
  <si>
    <t xml:space="preserve">Comic Shops (500)</t>
  </si>
  <si>
    <t xml:space="preserve">  Free (50 × $0)</t>
  </si>
  <si>
    <t xml:space="preserve">  Pro (75 shops)</t>
  </si>
  <si>
    <t xml:space="preserve">  Guard (150 shops)</t>
  </si>
  <si>
    <t xml:space="preserve">  Dealer (225 shops)</t>
  </si>
  <si>
    <t xml:space="preserve">  Subtotal — Comic Shops</t>
  </si>
  <si>
    <t xml:space="preserve">Baseball Card Collectors — Individuals (9,000)</t>
  </si>
  <si>
    <t xml:space="preserve">  Free (5,400 × $0)</t>
  </si>
  <si>
    <t xml:space="preserve">  Pro (2,250 users)</t>
  </si>
  <si>
    <t xml:space="preserve">  Guard (1,080 users)</t>
  </si>
  <si>
    <t xml:space="preserve">  Dealer (270 users)</t>
  </si>
  <si>
    <t xml:space="preserve">  Subtotal — Card Individuals</t>
  </si>
  <si>
    <t xml:space="preserve">Baseball Card Shops (1,000)</t>
  </si>
  <si>
    <t xml:space="preserve">  Free (100 × $0)</t>
  </si>
  <si>
    <t xml:space="preserve">  Pro (150 shops)</t>
  </si>
  <si>
    <t xml:space="preserve">  Guard (300 shops)</t>
  </si>
  <si>
    <t xml:space="preserve">  Dealer (450 shops)</t>
  </si>
  <si>
    <t xml:space="preserve">  Subtotal — Card Shops</t>
  </si>
  <si>
    <t xml:space="preserve">TOTAL REVENUE</t>
  </si>
  <si>
    <t xml:space="preserve">COSTS</t>
  </si>
  <si>
    <t xml:space="preserve">Anthropic API — Comics (5,000 users)</t>
  </si>
  <si>
    <t xml:space="preserve">  Free individuals (2,700)</t>
  </si>
  <si>
    <t xml:space="preserve">Light usage</t>
  </si>
  <si>
    <t xml:space="preserve">  Paid individuals (1,800)</t>
  </si>
  <si>
    <t xml:space="preserve">Moderate usage</t>
  </si>
  <si>
    <t xml:space="preserve">  Free shops (50)</t>
  </si>
  <si>
    <t xml:space="preserve">Capped at free tier</t>
  </si>
  <si>
    <t xml:space="preserve">  Paid shops (450)</t>
  </si>
  <si>
    <t xml:space="preserve">Heavy volume</t>
  </si>
  <si>
    <t xml:space="preserve">  Subtotal — Comic API</t>
  </si>
  <si>
    <t xml:space="preserve">Anthropic API — Baseball Cards (10,000 users) — 2× rate</t>
  </si>
  <si>
    <t xml:space="preserve">  Free individuals (5,400)</t>
  </si>
  <si>
    <t xml:space="preserve">2× API cost</t>
  </si>
  <si>
    <t xml:space="preserve">  Paid individuals (3,600)</t>
  </si>
  <si>
    <t xml:space="preserve">  Free shops (100)</t>
  </si>
  <si>
    <t xml:space="preserve">  Paid shops (900)</t>
  </si>
  <si>
    <t xml:space="preserve">Heavy volume, 2× API cost</t>
  </si>
  <si>
    <t xml:space="preserve">  Subtotal — Card API</t>
  </si>
  <si>
    <t xml:space="preserve">  TOTAL ANTHROPIC API</t>
  </si>
  <si>
    <t xml:space="preserve">Infrastructure (scaled for 15K users)</t>
  </si>
  <si>
    <t xml:space="preserve">  Render API server (Standard Plus)</t>
  </si>
  <si>
    <t xml:space="preserve">Upgraded for 15K users</t>
  </si>
  <si>
    <t xml:space="preserve">  Render PostgreSQL (Standard Plus)</t>
  </si>
  <si>
    <t xml:space="preserve">More storage/connections</t>
  </si>
  <si>
    <t xml:space="preserve">  Cloudflare R2 storage</t>
  </si>
  <si>
    <t xml:space="preserve">~150GB images at scale</t>
  </si>
  <si>
    <t xml:space="preserve">  Cloudflare CDN/DNS Pro</t>
  </si>
  <si>
    <t xml:space="preserve">Frontend delivery</t>
  </si>
  <si>
    <t xml:space="preserve">  Domain / SSL</t>
  </si>
  <si>
    <t xml:space="preserve">Amortized</t>
  </si>
  <si>
    <t xml:space="preserve">  Monitoring (Sentry, etc.)</t>
  </si>
  <si>
    <t xml:space="preserve">Error tracking, uptime</t>
  </si>
  <si>
    <t xml:space="preserve">  Subtotal — Infrastructure</t>
  </si>
  <si>
    <t xml:space="preserve">Stripe processing fees</t>
  </si>
  <si>
    <t xml:space="preserve">2.9% + $0.30/txn × 6,750 paying users</t>
  </si>
  <si>
    <t xml:space="preserve">TOTAL COSTS</t>
  </si>
  <si>
    <t xml:space="preserve">NET PROFIT (BEFORE TAX)</t>
  </si>
  <si>
    <t xml:space="preserve">Gross Margin %</t>
  </si>
  <si>
    <t xml:space="preserve">Anthropic API as % of Revenue</t>
  </si>
  <si>
    <t xml:space="preserve">Comic API as % of Comic Revenue</t>
  </si>
  <si>
    <t xml:space="preserve">Card API as % of Card Revenue</t>
  </si>
  <si>
    <t xml:space="preserve">Total Cost per User / month</t>
  </si>
  <si>
    <t xml:space="preserve">ARPU (Revenue per User / month)</t>
  </si>
  <si>
    <t xml:space="preserve">SEGMENT COMPARISON</t>
  </si>
  <si>
    <t xml:space="preserve">Comics (5K)</t>
  </si>
  <si>
    <t xml:space="preserve">Cards (10K)</t>
  </si>
  <si>
    <t xml:space="preserve">Combined</t>
  </si>
  <si>
    <t xml:space="preserve">Monthly Revenue</t>
  </si>
  <si>
    <t xml:space="preserve">Monthly API Cost</t>
  </si>
  <si>
    <t xml:space="preserve">API as % of Segment Revenue</t>
  </si>
  <si>
    <t xml:space="preserve">UNIT ECONOMICS BY USER TYPE</t>
  </si>
  <si>
    <t xml:space="preserve">Free
(Comic)</t>
  </si>
  <si>
    <t xml:space="preserve">Pro
(Comic)</t>
  </si>
  <si>
    <t xml:space="preserve">Dealer
(Comic)</t>
  </si>
  <si>
    <t xml:space="preserve">Free
(Card)</t>
  </si>
  <si>
    <t xml:space="preserve">Pro
(Card)</t>
  </si>
  <si>
    <t xml:space="preserve">Dealer
(Card Shop)</t>
  </si>
  <si>
    <t xml:space="preserve">Contribution Margin</t>
  </si>
  <si>
    <t xml:space="preserve">Margin %</t>
  </si>
  <si>
    <t xml:space="preserve">N/A</t>
  </si>
  <si>
    <t xml:space="preserve">KEY INSIGHT:</t>
  </si>
  <si>
    <t xml:space="preserve">Card shops cost ~$6.98/mo API (2×) but still pay $23.49/mo = 70% margin</t>
  </si>
  <si>
    <t xml:space="preserve">Comic shops cost ~$3.49/mo API, pay $23.49/mo = 85% margin</t>
  </si>
  <si>
    <t xml:space="preserve">Even at double API rates, baseball cards are highly profitable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</si>
</sst>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\$#,##0.000"/>
    <numFmt numFmtId="168" formatCode="\$#,##0"/>
    <numFmt numFmtId="169" formatCode="0.0%"/>
    <numFmt numFmtId="170" formatCode="\$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F46E5"/>
      <name val="Cambria"/>
      <family val="0"/>
      <charset val="1"/>
    </font>
    <font>
      <b val="true"/>
      <sz val="11"/>
      <color rgb="FF1A237E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u val="singl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color rgb="FF888888"/>
      <name val="Cambria"/>
      <family val="0"/>
      <charset val="1"/>
    </font>
    <font>
      <b val="true"/>
      <sz val="11"/>
      <color rgb="FFB71C1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999999"/>
      <name val="Cambria"/>
      <family val="0"/>
      <charset val="1"/>
    </font>
    <font>
      <sz val="11"/>
      <color rgb="FF333333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8EAF6"/>
        <bgColor rgb="FFE8F5E9"/>
      </patternFill>
    </fill>
    <fill>
      <patternFill patternType="solid">
        <fgColor rgb="FFFFFFDD"/>
        <bgColor rgb="FFFFFFFF"/>
      </patternFill>
    </fill>
    <fill>
      <patternFill patternType="solid">
        <fgColor rgb="FFE8F5E9"/>
        <bgColor rgb="FFE8EAF6"/>
      </patternFill>
    </fill>
    <fill>
      <patternFill patternType="solid">
        <fgColor rgb="FFFFEBEE"/>
        <bgColor rgb="FFE8EAF6"/>
      </patternFill>
    </fill>
    <fill>
      <patternFill patternType="solid">
        <fgColor rgb="FFC8E6C9"/>
        <bgColor rgb="FFE8EAF6"/>
      </patternFill>
    </fill>
    <fill>
      <patternFill patternType="solid">
        <fgColor rgb="FF4F46E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DD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8E6C9"/>
      <rgbColor rgb="FFFFEBEE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59E0B"/>
      <rgbColor rgb="FFFF6600"/>
      <rgbColor rgb="FF666666"/>
      <rgbColor rgb="FF999999"/>
      <rgbColor rgb="FF1A237E"/>
      <rgbColor rgb="FF10B981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0" t="s">
        <v>2</v>
      </c>
      <c r="B4" s="4" t="n">
        <v>4500</v>
      </c>
    </row>
    <row r="5" customFormat="false" ht="15" hidden="false" customHeight="false" outlineLevel="0" collapsed="false">
      <c r="A5" s="0" t="s">
        <v>3</v>
      </c>
      <c r="B5" s="4" t="n">
        <v>500</v>
      </c>
    </row>
    <row r="6" customFormat="false" ht="15" hidden="false" customHeight="false" outlineLevel="0" collapsed="false">
      <c r="A6" s="0" t="s">
        <v>4</v>
      </c>
      <c r="B6" s="4" t="n">
        <v>9000</v>
      </c>
    </row>
    <row r="7" customFormat="false" ht="15" hidden="false" customHeight="false" outlineLevel="0" collapsed="false">
      <c r="A7" s="0" t="s">
        <v>5</v>
      </c>
      <c r="B7" s="4" t="n">
        <v>1000</v>
      </c>
    </row>
    <row r="8" customFormat="false" ht="15" hidden="false" customHeight="false" outlineLevel="0" collapsed="false">
      <c r="A8" s="5" t="s">
        <v>6</v>
      </c>
      <c r="B8" s="6" t="n">
        <v>15000</v>
      </c>
    </row>
    <row r="10" customFormat="false" ht="15" hidden="false" customHeight="false" outlineLevel="0" collapsed="false">
      <c r="A10" s="2" t="s">
        <v>7</v>
      </c>
      <c r="B10" s="3"/>
      <c r="C10" s="3"/>
    </row>
    <row r="11" customFormat="false" ht="15" hidden="false" customHeight="false" outlineLevel="0" collapsed="false">
      <c r="A11" s="0" t="s">
        <v>8</v>
      </c>
      <c r="B11" s="7" t="n">
        <v>0.6</v>
      </c>
    </row>
    <row r="12" customFormat="false" ht="15" hidden="false" customHeight="false" outlineLevel="0" collapsed="false">
      <c r="A12" s="0" t="s">
        <v>9</v>
      </c>
      <c r="B12" s="7" t="n">
        <v>0.25</v>
      </c>
    </row>
    <row r="13" customFormat="false" ht="15" hidden="false" customHeight="false" outlineLevel="0" collapsed="false">
      <c r="A13" s="0" t="s">
        <v>10</v>
      </c>
      <c r="B13" s="7" t="n">
        <v>0.12</v>
      </c>
    </row>
    <row r="14" customFormat="false" ht="15" hidden="false" customHeight="false" outlineLevel="0" collapsed="false">
      <c r="A14" s="0" t="s">
        <v>11</v>
      </c>
      <c r="B14" s="7" t="n">
        <v>0.03</v>
      </c>
    </row>
    <row r="16" customFormat="false" ht="15" hidden="false" customHeight="false" outlineLevel="0" collapsed="false">
      <c r="A16" s="2" t="s">
        <v>12</v>
      </c>
      <c r="B16" s="3"/>
      <c r="C16" s="3"/>
    </row>
    <row r="17" customFormat="false" ht="15" hidden="false" customHeight="false" outlineLevel="0" collapsed="false">
      <c r="A17" s="0" t="s">
        <v>8</v>
      </c>
      <c r="B17" s="7" t="n">
        <v>0.1</v>
      </c>
    </row>
    <row r="18" customFormat="false" ht="15" hidden="false" customHeight="false" outlineLevel="0" collapsed="false">
      <c r="A18" s="0" t="s">
        <v>9</v>
      </c>
      <c r="B18" s="7" t="n">
        <v>0.15</v>
      </c>
    </row>
    <row r="19" customFormat="false" ht="15" hidden="false" customHeight="false" outlineLevel="0" collapsed="false">
      <c r="A19" s="0" t="s">
        <v>10</v>
      </c>
      <c r="B19" s="7" t="n">
        <v>0.3</v>
      </c>
    </row>
    <row r="20" customFormat="false" ht="15" hidden="false" customHeight="false" outlineLevel="0" collapsed="false">
      <c r="A20" s="0" t="s">
        <v>11</v>
      </c>
      <c r="B20" s="7" t="n">
        <v>0.45</v>
      </c>
    </row>
    <row r="22" customFormat="false" ht="15" hidden="false" customHeight="false" outlineLevel="0" collapsed="false">
      <c r="A22" s="2" t="s">
        <v>13</v>
      </c>
      <c r="B22" s="3"/>
      <c r="C22" s="3"/>
    </row>
    <row r="23" customFormat="false" ht="15" hidden="false" customHeight="false" outlineLevel="0" collapsed="false">
      <c r="A23" s="0" t="s">
        <v>14</v>
      </c>
      <c r="B23" s="7" t="n">
        <v>0.3</v>
      </c>
      <c r="C23" s="8" t="s">
        <v>15</v>
      </c>
    </row>
    <row r="25" customFormat="false" ht="15" hidden="false" customHeight="false" outlineLevel="0" collapsed="false">
      <c r="A25" s="2" t="s">
        <v>16</v>
      </c>
      <c r="B25" s="3"/>
      <c r="C25" s="3"/>
    </row>
    <row r="26" customFormat="false" ht="15" hidden="false" customHeight="false" outlineLevel="0" collapsed="false">
      <c r="A26" s="0" t="s">
        <v>17</v>
      </c>
      <c r="B26" s="9" t="n">
        <v>0.035</v>
      </c>
      <c r="C26" s="8" t="s">
        <v>18</v>
      </c>
    </row>
    <row r="27" customFormat="false" ht="15" hidden="false" customHeight="false" outlineLevel="0" collapsed="false">
      <c r="A27" s="0" t="s">
        <v>19</v>
      </c>
      <c r="B27" s="9" t="n">
        <v>0.01</v>
      </c>
      <c r="C27" s="8" t="s">
        <v>20</v>
      </c>
    </row>
    <row r="28" customFormat="false" ht="15" hidden="false" customHeight="false" outlineLevel="0" collapsed="false">
      <c r="A28" s="0" t="s">
        <v>21</v>
      </c>
      <c r="B28" s="9" t="n">
        <v>0.024</v>
      </c>
      <c r="C28" s="8" t="s">
        <v>22</v>
      </c>
    </row>
    <row r="29" customFormat="false" ht="15" hidden="false" customHeight="false" outlineLevel="0" collapsed="false">
      <c r="A29" s="0" t="s">
        <v>23</v>
      </c>
      <c r="B29" s="9" t="n">
        <v>0.024</v>
      </c>
      <c r="C29" s="8" t="s">
        <v>24</v>
      </c>
    </row>
    <row r="30" customFormat="false" ht="15" hidden="false" customHeight="false" outlineLevel="0" collapsed="false">
      <c r="A30" s="0" t="s">
        <v>25</v>
      </c>
      <c r="B30" s="9" t="n">
        <v>0.07</v>
      </c>
      <c r="C30" s="8" t="s">
        <v>26</v>
      </c>
    </row>
    <row r="31" customFormat="false" ht="15" hidden="false" customHeight="false" outlineLevel="0" collapsed="false">
      <c r="A31" s="0" t="s">
        <v>27</v>
      </c>
      <c r="B31" s="9" t="n">
        <v>0.02</v>
      </c>
      <c r="C31" s="8" t="s">
        <v>28</v>
      </c>
    </row>
    <row r="32" customFormat="false" ht="15" hidden="false" customHeight="false" outlineLevel="0" collapsed="false">
      <c r="A32" s="0" t="s">
        <v>29</v>
      </c>
      <c r="B32" s="9" t="n">
        <v>0.048</v>
      </c>
      <c r="C32" s="8" t="s">
        <v>30</v>
      </c>
    </row>
    <row r="33" customFormat="false" ht="15" hidden="false" customHeight="false" outlineLevel="0" collapsed="false">
      <c r="A33" s="0" t="s">
        <v>31</v>
      </c>
      <c r="B33" s="9" t="n">
        <v>0.048</v>
      </c>
      <c r="C33" s="8" t="s">
        <v>32</v>
      </c>
    </row>
    <row r="35" customFormat="false" ht="15" hidden="false" customHeight="false" outlineLevel="0" collapsed="false">
      <c r="A35" s="2" t="s">
        <v>33</v>
      </c>
      <c r="B35" s="3"/>
      <c r="C35" s="3"/>
    </row>
    <row r="36" customFormat="false" ht="15" hidden="false" customHeight="false" outlineLevel="0" collapsed="false">
      <c r="A36" s="0" t="s">
        <v>34</v>
      </c>
      <c r="B36" s="10" t="n">
        <v>5</v>
      </c>
      <c r="C36" s="8" t="s">
        <v>35</v>
      </c>
    </row>
    <row r="37" customFormat="false" ht="15" hidden="false" customHeight="false" outlineLevel="0" collapsed="false">
      <c r="A37" s="0" t="s">
        <v>36</v>
      </c>
      <c r="B37" s="10" t="n">
        <v>1</v>
      </c>
      <c r="C37" s="8"/>
    </row>
    <row r="38" customFormat="false" ht="15" hidden="false" customHeight="false" outlineLevel="0" collapsed="false">
      <c r="A38" s="0" t="s">
        <v>37</v>
      </c>
      <c r="B38" s="10" t="n">
        <v>0.5</v>
      </c>
      <c r="C38" s="8"/>
    </row>
    <row r="39" customFormat="false" ht="15" hidden="false" customHeight="false" outlineLevel="0" collapsed="false">
      <c r="A39" s="0" t="s">
        <v>38</v>
      </c>
      <c r="B39" s="10" t="n">
        <v>0.1</v>
      </c>
      <c r="C39" s="8"/>
    </row>
    <row r="40" customFormat="false" ht="15" hidden="false" customHeight="false" outlineLevel="0" collapsed="false">
      <c r="A40" s="0" t="s">
        <v>39</v>
      </c>
      <c r="B40" s="10" t="n">
        <v>80</v>
      </c>
      <c r="C40" s="8" t="s">
        <v>40</v>
      </c>
    </row>
    <row r="41" customFormat="false" ht="15" hidden="false" customHeight="false" outlineLevel="0" collapsed="false">
      <c r="A41" s="0" t="s">
        <v>41</v>
      </c>
      <c r="B41" s="10" t="n">
        <v>40</v>
      </c>
      <c r="C41" s="8"/>
    </row>
    <row r="42" customFormat="false" ht="15" hidden="false" customHeight="false" outlineLevel="0" collapsed="false">
      <c r="A42" s="0" t="s">
        <v>42</v>
      </c>
      <c r="B42" s="10" t="n">
        <v>10</v>
      </c>
      <c r="C42" s="8"/>
    </row>
    <row r="43" customFormat="false" ht="15" hidden="false" customHeight="false" outlineLevel="0" collapsed="false">
      <c r="A43" s="0" t="s">
        <v>43</v>
      </c>
      <c r="B43" s="10" t="n">
        <v>2</v>
      </c>
      <c r="C4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D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8" t="s">
        <v>44</v>
      </c>
    </row>
    <row r="4" customFormat="false" ht="15" hidden="false" customHeight="false" outlineLevel="0" collapsed="false">
      <c r="A4" s="2" t="s">
        <v>45</v>
      </c>
      <c r="B4" s="2" t="s">
        <v>46</v>
      </c>
      <c r="C4" s="2" t="s">
        <v>47</v>
      </c>
      <c r="D4" s="2" t="s">
        <v>48</v>
      </c>
    </row>
    <row r="5" customFormat="false" ht="15" hidden="false" customHeight="false" outlineLevel="0" collapsed="false">
      <c r="A5" s="11" t="s">
        <v>49</v>
      </c>
    </row>
    <row r="6" customFormat="false" ht="15" hidden="false" customHeight="false" outlineLevel="0" collapsed="false">
      <c r="A6" s="0" t="s">
        <v>50</v>
      </c>
      <c r="B6" s="12" t="n">
        <v>0</v>
      </c>
    </row>
    <row r="7" customFormat="false" ht="15" hidden="false" customHeight="false" outlineLevel="0" collapsed="false">
      <c r="A7" s="0" t="s">
        <v>51</v>
      </c>
      <c r="B7" s="12" t="n">
        <v>5332.5</v>
      </c>
    </row>
    <row r="8" customFormat="false" ht="15" hidden="false" customHeight="false" outlineLevel="0" collapsed="false">
      <c r="A8" s="0" t="s">
        <v>52</v>
      </c>
      <c r="B8" s="12" t="n">
        <v>4989.6</v>
      </c>
    </row>
    <row r="9" customFormat="false" ht="15" hidden="false" customHeight="false" outlineLevel="0" collapsed="false">
      <c r="A9" s="0" t="s">
        <v>53</v>
      </c>
      <c r="B9" s="12" t="n">
        <v>3171.15</v>
      </c>
    </row>
    <row r="10" customFormat="false" ht="15" hidden="false" customHeight="false" outlineLevel="0" collapsed="false">
      <c r="A10" s="13" t="s">
        <v>54</v>
      </c>
      <c r="B10" s="14" t="n">
        <f aca="false">SUM(B6:B9)</f>
        <v>13493.25</v>
      </c>
      <c r="C10" s="14" t="n">
        <f aca="false">B10*12</f>
        <v>161919</v>
      </c>
      <c r="D10" s="13"/>
    </row>
    <row r="12" customFormat="false" ht="15" hidden="false" customHeight="false" outlineLevel="0" collapsed="false">
      <c r="A12" s="11" t="s">
        <v>55</v>
      </c>
    </row>
    <row r="13" customFormat="false" ht="15" hidden="false" customHeight="false" outlineLevel="0" collapsed="false">
      <c r="A13" s="0" t="s">
        <v>56</v>
      </c>
      <c r="B13" s="12" t="n">
        <v>0</v>
      </c>
    </row>
    <row r="14" customFormat="false" ht="15" hidden="false" customHeight="false" outlineLevel="0" collapsed="false">
      <c r="A14" s="0" t="s">
        <v>57</v>
      </c>
      <c r="B14" s="12" t="n">
        <v>355.5</v>
      </c>
    </row>
    <row r="15" customFormat="false" ht="15" hidden="false" customHeight="false" outlineLevel="0" collapsed="false">
      <c r="A15" s="0" t="s">
        <v>58</v>
      </c>
      <c r="B15" s="12" t="n">
        <v>1386</v>
      </c>
    </row>
    <row r="16" customFormat="false" ht="15" hidden="false" customHeight="false" outlineLevel="0" collapsed="false">
      <c r="A16" s="0" t="s">
        <v>59</v>
      </c>
      <c r="B16" s="12" t="n">
        <v>5285.25</v>
      </c>
    </row>
    <row r="17" customFormat="false" ht="15" hidden="false" customHeight="false" outlineLevel="0" collapsed="false">
      <c r="A17" s="13" t="s">
        <v>60</v>
      </c>
      <c r="B17" s="14" t="n">
        <f aca="false">SUM(B13:B16)</f>
        <v>7026.75</v>
      </c>
      <c r="C17" s="14" t="n">
        <f aca="false">B17*12</f>
        <v>84321</v>
      </c>
      <c r="D17" s="13"/>
    </row>
    <row r="19" customFormat="false" ht="15" hidden="false" customHeight="false" outlineLevel="0" collapsed="false">
      <c r="A19" s="11" t="s">
        <v>61</v>
      </c>
    </row>
    <row r="20" customFormat="false" ht="15" hidden="false" customHeight="false" outlineLevel="0" collapsed="false">
      <c r="A20" s="0" t="s">
        <v>62</v>
      </c>
      <c r="B20" s="12" t="n">
        <v>0</v>
      </c>
    </row>
    <row r="21" customFormat="false" ht="15" hidden="false" customHeight="false" outlineLevel="0" collapsed="false">
      <c r="A21" s="0" t="s">
        <v>63</v>
      </c>
      <c r="B21" s="12" t="n">
        <v>10665</v>
      </c>
    </row>
    <row r="22" customFormat="false" ht="15" hidden="false" customHeight="false" outlineLevel="0" collapsed="false">
      <c r="A22" s="0" t="s">
        <v>64</v>
      </c>
      <c r="B22" s="12" t="n">
        <v>9979.2</v>
      </c>
    </row>
    <row r="23" customFormat="false" ht="15" hidden="false" customHeight="false" outlineLevel="0" collapsed="false">
      <c r="A23" s="0" t="s">
        <v>65</v>
      </c>
      <c r="B23" s="12" t="n">
        <v>6342.3</v>
      </c>
    </row>
    <row r="24" customFormat="false" ht="15" hidden="false" customHeight="false" outlineLevel="0" collapsed="false">
      <c r="A24" s="13" t="s">
        <v>66</v>
      </c>
      <c r="B24" s="14" t="n">
        <f aca="false">SUM(B20:B23)</f>
        <v>26986.5</v>
      </c>
      <c r="C24" s="14" t="n">
        <f aca="false">B24*12</f>
        <v>323838</v>
      </c>
      <c r="D24" s="13"/>
    </row>
    <row r="26" customFormat="false" ht="15" hidden="false" customHeight="false" outlineLevel="0" collapsed="false">
      <c r="A26" s="11" t="s">
        <v>67</v>
      </c>
    </row>
    <row r="27" customFormat="false" ht="15" hidden="false" customHeight="false" outlineLevel="0" collapsed="false">
      <c r="A27" s="0" t="s">
        <v>68</v>
      </c>
      <c r="B27" s="12" t="n">
        <v>0</v>
      </c>
    </row>
    <row r="28" customFormat="false" ht="15" hidden="false" customHeight="false" outlineLevel="0" collapsed="false">
      <c r="A28" s="0" t="s">
        <v>69</v>
      </c>
      <c r="B28" s="12" t="n">
        <v>711</v>
      </c>
    </row>
    <row r="29" customFormat="false" ht="15" hidden="false" customHeight="false" outlineLevel="0" collapsed="false">
      <c r="A29" s="0" t="s">
        <v>70</v>
      </c>
      <c r="B29" s="12" t="n">
        <v>2772</v>
      </c>
    </row>
    <row r="30" customFormat="false" ht="15" hidden="false" customHeight="false" outlineLevel="0" collapsed="false">
      <c r="A30" s="0" t="s">
        <v>71</v>
      </c>
      <c r="B30" s="12" t="n">
        <v>10570.5</v>
      </c>
    </row>
    <row r="31" customFormat="false" ht="15" hidden="false" customHeight="false" outlineLevel="0" collapsed="false">
      <c r="A31" s="13" t="s">
        <v>72</v>
      </c>
      <c r="B31" s="14" t="n">
        <f aca="false">SUM(B27:B30)</f>
        <v>14053.5</v>
      </c>
      <c r="C31" s="14" t="n">
        <f aca="false">B31*12</f>
        <v>168642</v>
      </c>
      <c r="D31" s="13"/>
    </row>
    <row r="33" customFormat="false" ht="15" hidden="false" customHeight="false" outlineLevel="0" collapsed="false">
      <c r="A33" s="15" t="s">
        <v>73</v>
      </c>
      <c r="B33" s="16" t="n">
        <f aca="false">B10+B17+B24+B31</f>
        <v>61560</v>
      </c>
      <c r="C33" s="16" t="n">
        <f aca="false">B33*12</f>
        <v>738720</v>
      </c>
      <c r="D33" s="15"/>
    </row>
    <row r="36" customFormat="false" ht="15" hidden="false" customHeight="false" outlineLevel="0" collapsed="false">
      <c r="A36" s="2" t="s">
        <v>74</v>
      </c>
      <c r="B36" s="2" t="s">
        <v>46</v>
      </c>
      <c r="C36" s="2" t="s">
        <v>47</v>
      </c>
      <c r="D36" s="2" t="s">
        <v>48</v>
      </c>
    </row>
    <row r="37" customFormat="false" ht="15" hidden="false" customHeight="false" outlineLevel="0" collapsed="false">
      <c r="A37" s="11" t="s">
        <v>75</v>
      </c>
    </row>
    <row r="38" customFormat="false" ht="15" hidden="false" customHeight="false" outlineLevel="0" collapsed="false">
      <c r="A38" s="0" t="s">
        <v>76</v>
      </c>
      <c r="B38" s="12" t="n">
        <v>498.96</v>
      </c>
      <c r="D38" s="17" t="s">
        <v>77</v>
      </c>
    </row>
    <row r="39" customFormat="false" ht="15" hidden="false" customHeight="false" outlineLevel="0" collapsed="false">
      <c r="A39" s="0" t="s">
        <v>78</v>
      </c>
      <c r="B39" s="12" t="n">
        <v>358.92</v>
      </c>
      <c r="D39" s="17" t="s">
        <v>79</v>
      </c>
    </row>
    <row r="40" customFormat="false" ht="15" hidden="false" customHeight="false" outlineLevel="0" collapsed="false">
      <c r="A40" s="0" t="s">
        <v>80</v>
      </c>
      <c r="B40" s="12" t="n">
        <v>19.7</v>
      </c>
      <c r="D40" s="17" t="s">
        <v>81</v>
      </c>
    </row>
    <row r="41" customFormat="false" ht="15" hidden="false" customHeight="false" outlineLevel="0" collapsed="false">
      <c r="A41" s="0" t="s">
        <v>82</v>
      </c>
      <c r="B41" s="12" t="n">
        <v>1569.6</v>
      </c>
      <c r="D41" s="17" t="s">
        <v>83</v>
      </c>
    </row>
    <row r="42" customFormat="false" ht="15" hidden="false" customHeight="false" outlineLevel="0" collapsed="false">
      <c r="A42" s="13" t="s">
        <v>84</v>
      </c>
      <c r="B42" s="14" t="n">
        <f aca="false">SUM(B38:B41)</f>
        <v>2447.18</v>
      </c>
      <c r="C42" s="14" t="n">
        <f aca="false">B42*12</f>
        <v>29366.16</v>
      </c>
      <c r="D42" s="13"/>
    </row>
    <row r="44" customFormat="false" ht="15" hidden="false" customHeight="false" outlineLevel="0" collapsed="false">
      <c r="A44" s="11" t="s">
        <v>85</v>
      </c>
    </row>
    <row r="45" customFormat="false" ht="15" hidden="false" customHeight="false" outlineLevel="0" collapsed="false">
      <c r="A45" s="0" t="s">
        <v>86</v>
      </c>
      <c r="B45" s="12" t="n">
        <v>1995.84</v>
      </c>
      <c r="D45" s="17" t="s">
        <v>87</v>
      </c>
    </row>
    <row r="46" customFormat="false" ht="15" hidden="false" customHeight="false" outlineLevel="0" collapsed="false">
      <c r="A46" s="0" t="s">
        <v>88</v>
      </c>
      <c r="B46" s="12" t="n">
        <v>1435.68</v>
      </c>
      <c r="D46" s="17" t="s">
        <v>87</v>
      </c>
    </row>
    <row r="47" customFormat="false" ht="15" hidden="false" customHeight="false" outlineLevel="0" collapsed="false">
      <c r="A47" s="0" t="s">
        <v>89</v>
      </c>
      <c r="B47" s="12" t="n">
        <v>78.8</v>
      </c>
      <c r="D47" s="17" t="s">
        <v>87</v>
      </c>
    </row>
    <row r="48" customFormat="false" ht="15" hidden="false" customHeight="false" outlineLevel="0" collapsed="false">
      <c r="A48" s="0" t="s">
        <v>90</v>
      </c>
      <c r="B48" s="12" t="n">
        <v>6278.4</v>
      </c>
      <c r="D48" s="17" t="s">
        <v>91</v>
      </c>
    </row>
    <row r="49" customFormat="false" ht="15" hidden="false" customHeight="false" outlineLevel="0" collapsed="false">
      <c r="A49" s="13" t="s">
        <v>92</v>
      </c>
      <c r="B49" s="14" t="n">
        <f aca="false">SUM(B45:B48)</f>
        <v>9788.72</v>
      </c>
      <c r="C49" s="14" t="n">
        <f aca="false">B49*12</f>
        <v>117464.64</v>
      </c>
      <c r="D49" s="13"/>
    </row>
    <row r="51" customFormat="false" ht="15" hidden="false" customHeight="false" outlineLevel="0" collapsed="false">
      <c r="A51" s="18" t="s">
        <v>93</v>
      </c>
      <c r="B51" s="19" t="n">
        <f aca="false">B42+B49</f>
        <v>12235.9</v>
      </c>
      <c r="C51" s="19" t="n">
        <f aca="false">B51*12</f>
        <v>146830.8</v>
      </c>
    </row>
    <row r="53" customFormat="false" ht="15" hidden="false" customHeight="false" outlineLevel="0" collapsed="false">
      <c r="A53" s="11" t="s">
        <v>94</v>
      </c>
    </row>
    <row r="54" customFormat="false" ht="15" hidden="false" customHeight="false" outlineLevel="0" collapsed="false">
      <c r="A54" s="0" t="s">
        <v>95</v>
      </c>
      <c r="B54" s="12" t="n">
        <v>50</v>
      </c>
      <c r="D54" s="17" t="s">
        <v>96</v>
      </c>
    </row>
    <row r="55" customFormat="false" ht="15" hidden="false" customHeight="false" outlineLevel="0" collapsed="false">
      <c r="A55" s="0" t="s">
        <v>97</v>
      </c>
      <c r="B55" s="12" t="n">
        <v>40</v>
      </c>
      <c r="D55" s="17" t="s">
        <v>98</v>
      </c>
    </row>
    <row r="56" customFormat="false" ht="15" hidden="false" customHeight="false" outlineLevel="0" collapsed="false">
      <c r="A56" s="0" t="s">
        <v>99</v>
      </c>
      <c r="B56" s="12" t="n">
        <v>30</v>
      </c>
      <c r="D56" s="17" t="s">
        <v>100</v>
      </c>
    </row>
    <row r="57" customFormat="false" ht="15" hidden="false" customHeight="false" outlineLevel="0" collapsed="false">
      <c r="A57" s="0" t="s">
        <v>101</v>
      </c>
      <c r="B57" s="12" t="n">
        <v>20</v>
      </c>
      <c r="D57" s="17" t="s">
        <v>102</v>
      </c>
    </row>
    <row r="58" customFormat="false" ht="15" hidden="false" customHeight="false" outlineLevel="0" collapsed="false">
      <c r="A58" s="0" t="s">
        <v>103</v>
      </c>
      <c r="B58" s="12" t="n">
        <v>2</v>
      </c>
      <c r="D58" s="17" t="s">
        <v>104</v>
      </c>
    </row>
    <row r="59" customFormat="false" ht="15" hidden="false" customHeight="false" outlineLevel="0" collapsed="false">
      <c r="A59" s="0" t="s">
        <v>105</v>
      </c>
      <c r="B59" s="12" t="n">
        <v>15</v>
      </c>
      <c r="D59" s="17" t="s">
        <v>106</v>
      </c>
    </row>
    <row r="60" customFormat="false" ht="15" hidden="false" customHeight="false" outlineLevel="0" collapsed="false">
      <c r="A60" s="13" t="s">
        <v>107</v>
      </c>
      <c r="B60" s="14" t="n">
        <f aca="false">SUM(B54:B59)</f>
        <v>157</v>
      </c>
      <c r="C60" s="14" t="n">
        <f aca="false">B60*12</f>
        <v>1884</v>
      </c>
      <c r="D60" s="13"/>
    </row>
    <row r="62" customFormat="false" ht="15" hidden="false" customHeight="false" outlineLevel="0" collapsed="false">
      <c r="A62" s="5" t="s">
        <v>108</v>
      </c>
      <c r="B62" s="12" t="n">
        <f aca="false">B33*0.029+6750*0.3</f>
        <v>3810.24</v>
      </c>
      <c r="C62" s="20" t="n">
        <f aca="false">B62*12</f>
        <v>45722.88</v>
      </c>
      <c r="D62" s="17" t="s">
        <v>109</v>
      </c>
    </row>
    <row r="64" customFormat="false" ht="15" hidden="false" customHeight="false" outlineLevel="0" collapsed="false">
      <c r="A64" s="21" t="s">
        <v>110</v>
      </c>
      <c r="B64" s="22" t="n">
        <f aca="false">B51+B60+B62</f>
        <v>16203.14</v>
      </c>
      <c r="C64" s="22" t="n">
        <f aca="false">B64*12</f>
        <v>194437.68</v>
      </c>
      <c r="D64" s="21"/>
    </row>
    <row r="67" customFormat="false" ht="15" hidden="false" customHeight="false" outlineLevel="0" collapsed="false">
      <c r="A67" s="23" t="s">
        <v>111</v>
      </c>
      <c r="B67" s="24" t="n">
        <f aca="false">B33-B64</f>
        <v>45356.86</v>
      </c>
      <c r="C67" s="24" t="n">
        <f aca="false">B67*12</f>
        <v>544282.32</v>
      </c>
      <c r="D67" s="23"/>
    </row>
    <row r="69" customFormat="false" ht="15" hidden="false" customHeight="false" outlineLevel="0" collapsed="false">
      <c r="A69" s="5" t="s">
        <v>112</v>
      </c>
      <c r="B69" s="25" t="n">
        <f aca="false">B67/B33</f>
        <v>0.73679109811566</v>
      </c>
    </row>
    <row r="70" customFormat="false" ht="15" hidden="false" customHeight="false" outlineLevel="0" collapsed="false">
      <c r="A70" s="8" t="s">
        <v>113</v>
      </c>
      <c r="B70" s="26" t="n">
        <f aca="false">B51/B33</f>
        <v>0.198763807667316</v>
      </c>
    </row>
    <row r="71" customFormat="false" ht="15" hidden="false" customHeight="false" outlineLevel="0" collapsed="false">
      <c r="A71" s="8" t="s">
        <v>114</v>
      </c>
      <c r="B71" s="26" t="n">
        <f aca="false">B42/(B10+B17)</f>
        <v>0.11925828460039</v>
      </c>
    </row>
    <row r="72" customFormat="false" ht="15" hidden="false" customHeight="false" outlineLevel="0" collapsed="false">
      <c r="A72" s="8" t="s">
        <v>115</v>
      </c>
      <c r="B72" s="26" t="n">
        <f aca="false">B49/(B24+B31)</f>
        <v>0.23851656920078</v>
      </c>
    </row>
    <row r="73" customFormat="false" ht="15" hidden="false" customHeight="false" outlineLevel="0" collapsed="false">
      <c r="A73" s="8" t="s">
        <v>116</v>
      </c>
      <c r="B73" s="27" t="n">
        <f aca="false">B64/15000</f>
        <v>1.08020933333333</v>
      </c>
    </row>
    <row r="74" customFormat="false" ht="15" hidden="false" customHeight="false" outlineLevel="0" collapsed="false">
      <c r="A74" s="8" t="s">
        <v>117</v>
      </c>
      <c r="B74" s="27" t="n">
        <f aca="false">B33/15000</f>
        <v>4.104</v>
      </c>
    </row>
    <row r="76" customFormat="false" ht="15" hidden="false" customHeight="false" outlineLevel="0" collapsed="false">
      <c r="A76" s="2" t="s">
        <v>118</v>
      </c>
      <c r="B76" s="3"/>
      <c r="C76" s="3"/>
      <c r="D76" s="3"/>
    </row>
    <row r="77" customFormat="false" ht="15" hidden="false" customHeight="false" outlineLevel="0" collapsed="false">
      <c r="A77" s="28"/>
      <c r="B77" s="28" t="s">
        <v>119</v>
      </c>
      <c r="C77" s="28" t="s">
        <v>120</v>
      </c>
      <c r="D77" s="28" t="s">
        <v>121</v>
      </c>
    </row>
    <row r="78" customFormat="false" ht="15" hidden="false" customHeight="false" outlineLevel="0" collapsed="false">
      <c r="A78" s="0" t="s">
        <v>122</v>
      </c>
      <c r="B78" s="20" t="n">
        <f aca="false">B10+B17</f>
        <v>20520</v>
      </c>
      <c r="C78" s="20" t="n">
        <f aca="false">B24+B31</f>
        <v>41040</v>
      </c>
      <c r="D78" s="20" t="n">
        <f aca="false">B33</f>
        <v>61560</v>
      </c>
    </row>
    <row r="79" customFormat="false" ht="15" hidden="false" customHeight="false" outlineLevel="0" collapsed="false">
      <c r="A79" s="0" t="s">
        <v>123</v>
      </c>
      <c r="B79" s="20" t="n">
        <f aca="false">B42</f>
        <v>2447.18</v>
      </c>
      <c r="C79" s="20" t="n">
        <f aca="false">B49</f>
        <v>9788.72</v>
      </c>
      <c r="D79" s="20" t="n">
        <f aca="false">B51</f>
        <v>12235.9</v>
      </c>
    </row>
    <row r="80" customFormat="false" ht="15" hidden="false" customHeight="false" outlineLevel="0" collapsed="false">
      <c r="A80" s="0" t="s">
        <v>124</v>
      </c>
      <c r="B80" s="26" t="n">
        <f aca="false">B79/B78</f>
        <v>0.11925828460039</v>
      </c>
      <c r="C80" s="26" t="n">
        <f aca="false">C79/C78</f>
        <v>0.23851656920078</v>
      </c>
      <c r="D80" s="26" t="n">
        <f aca="false">D79/D78</f>
        <v>0.198763807667316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125</v>
      </c>
    </row>
    <row r="3" customFormat="false" ht="26.85" hidden="false" customHeight="false" outlineLevel="0" collapsed="false">
      <c r="A3" s="28"/>
      <c r="B3" s="28" t="s">
        <v>126</v>
      </c>
      <c r="C3" s="28" t="s">
        <v>127</v>
      </c>
      <c r="D3" s="28" t="s">
        <v>128</v>
      </c>
      <c r="E3" s="28" t="s">
        <v>129</v>
      </c>
      <c r="F3" s="28" t="s">
        <v>130</v>
      </c>
      <c r="G3" s="28" t="s">
        <v>131</v>
      </c>
    </row>
    <row r="4" customFormat="false" ht="15" hidden="false" customHeight="false" outlineLevel="0" collapsed="false">
      <c r="A4" s="5" t="s">
        <v>122</v>
      </c>
      <c r="B4" s="29" t="n">
        <v>0</v>
      </c>
      <c r="C4" s="29" t="n">
        <v>4.74</v>
      </c>
      <c r="D4" s="29" t="n">
        <v>23.49</v>
      </c>
      <c r="E4" s="29" t="n">
        <v>0</v>
      </c>
      <c r="F4" s="29" t="n">
        <v>4.74</v>
      </c>
      <c r="G4" s="29" t="n">
        <v>23.49</v>
      </c>
    </row>
    <row r="5" customFormat="false" ht="15" hidden="false" customHeight="false" outlineLevel="0" collapsed="false">
      <c r="A5" s="5" t="s">
        <v>123</v>
      </c>
      <c r="B5" s="29" t="n">
        <v>0.185</v>
      </c>
      <c r="C5" s="29" t="n">
        <v>0.199</v>
      </c>
      <c r="D5" s="29" t="n">
        <v>3.488</v>
      </c>
      <c r="E5" s="29" t="n">
        <v>0.37</v>
      </c>
      <c r="F5" s="29" t="n">
        <v>0.399</v>
      </c>
      <c r="G5" s="29" t="n">
        <v>6.976</v>
      </c>
    </row>
    <row r="6" customFormat="false" ht="15" hidden="false" customHeight="false" outlineLevel="0" collapsed="false">
      <c r="A6" s="5" t="s">
        <v>132</v>
      </c>
      <c r="B6" s="30" t="n">
        <f aca="false">B4-B5</f>
        <v>-0.185</v>
      </c>
      <c r="C6" s="30" t="n">
        <f aca="false">C4-C5</f>
        <v>4.541</v>
      </c>
      <c r="D6" s="30" t="n">
        <f aca="false">D4-D5</f>
        <v>20.002</v>
      </c>
      <c r="E6" s="30" t="n">
        <f aca="false">E4-E5</f>
        <v>-0.37</v>
      </c>
      <c r="F6" s="30" t="n">
        <f aca="false">F4-F5</f>
        <v>4.341</v>
      </c>
      <c r="G6" s="30" t="n">
        <f aca="false">G4-G5</f>
        <v>16.514</v>
      </c>
    </row>
    <row r="7" customFormat="false" ht="15" hidden="false" customHeight="false" outlineLevel="0" collapsed="false">
      <c r="A7" s="31" t="s">
        <v>133</v>
      </c>
      <c r="B7" s="32" t="s">
        <v>134</v>
      </c>
      <c r="C7" s="26" t="n">
        <f aca="false">C6/C4</f>
        <v>0.958016877637131</v>
      </c>
      <c r="D7" s="26" t="n">
        <f aca="false">D6/D4</f>
        <v>0.851511281396339</v>
      </c>
      <c r="E7" s="32" t="s">
        <v>134</v>
      </c>
      <c r="F7" s="26" t="n">
        <f aca="false">F6/F4</f>
        <v>0.915822784810127</v>
      </c>
      <c r="G7" s="26" t="n">
        <f aca="false">G6/G4</f>
        <v>0.703022562792678</v>
      </c>
    </row>
    <row r="9" customFormat="false" ht="15" hidden="false" customHeight="false" outlineLevel="0" collapsed="false">
      <c r="A9" s="18" t="s">
        <v>135</v>
      </c>
    </row>
    <row r="10" customFormat="false" ht="15" hidden="false" customHeight="false" outlineLevel="0" collapsed="false">
      <c r="A10" s="33" t="s">
        <v>136</v>
      </c>
    </row>
    <row r="11" customFormat="false" ht="15" hidden="false" customHeight="false" outlineLevel="0" collapsed="false">
      <c r="A11" s="33" t="s">
        <v>137</v>
      </c>
    </row>
    <row r="12" customFormat="false" ht="15" hidden="false" customHeight="false" outlineLevel="0" collapsed="false">
      <c r="A12" s="3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2026-03-06T18:01:31Z</dcterms:created>
  <dc:creator>openpyxl</dc:creator>
  <dc:description/>
  <dc:language>en-US</dc:language>
  <cp:lastModifiedBy/>
  <dcterms:modified xsi:type="dcterms:W3CDTF">2026-03-06T18:01:31Z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