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&amp;L Summary" sheetId="2" state="visible" r:id="rId4"/>
    <sheet name="Unit Econom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<sst xmlns="http://schemas.openxmlformats.org/spreadsheetml/2006/main" count="168" uniqueCount="155">
  <si>
    <t xml:space="preserve">SLAB WORTHY — YEAR 1 P&amp;L ASSUMPTIONS</t>
  </si>
  <si>
    <t xml:space="preserve">USER MIX</t>
  </si>
  <si>
    <t xml:space="preserve">Total users at end of Year 1</t>
  </si>
  <si>
    <t xml:space="preserve">Individual collectors</t>
  </si>
  <si>
    <t xml:space="preserve">Comic book shops (dealers)</t>
  </si>
  <si>
    <t xml:space="preserve">PLAN DISTRIBUTION — INDIVIDUALS (4,500)</t>
  </si>
  <si>
    <t xml:space="preserve">  Free</t>
  </si>
  <si>
    <t xml:space="preserve">$0/mo</t>
  </si>
  <si>
    <t xml:space="preserve">  Pro</t>
  </si>
  <si>
    <t xml:space="preserve">$4.99/mo or $49.99/yr</t>
  </si>
  <si>
    <t xml:space="preserve">  Guard</t>
  </si>
  <si>
    <t xml:space="preserve">$9.99/mo or $89.99/yr</t>
  </si>
  <si>
    <t xml:space="preserve">  Dealer</t>
  </si>
  <si>
    <t xml:space="preserve">$24.99/mo or $239.99/yr</t>
  </si>
  <si>
    <t xml:space="preserve">PLAN DISTRIBUTION — SHOPS (500)</t>
  </si>
  <si>
    <t xml:space="preserve">$0/mo — testing it out</t>
  </si>
  <si>
    <t xml:space="preserve">$4.99/mo</t>
  </si>
  <si>
    <t xml:space="preserve">$9.99/mo</t>
  </si>
  <si>
    <t xml:space="preserve">$24.99/mo — most shops need bulk/API</t>
  </si>
  <si>
    <t xml:space="preserve">BILLING MIX</t>
  </si>
  <si>
    <t xml:space="preserve">  % choosing annual billing</t>
  </si>
  <si>
    <t xml:space="preserve">Annual gets ~17% discount</t>
  </si>
  <si>
    <t xml:space="preserve">USAGE PER USER/MONTH</t>
  </si>
  <si>
    <t xml:space="preserve">  Individual — Gradings/mo</t>
  </si>
  <si>
    <t xml:space="preserve">Vision API, heaviest call (~2,500 tokens)</t>
  </si>
  <si>
    <t xml:space="preserve">  Individual — Listings generated/mo</t>
  </si>
  <si>
    <t xml:space="preserve">Whatnot/eBay descriptions (~700 tokens)</t>
  </si>
  <si>
    <t xml:space="preserve">  Individual — Slab Guard CV checks/mo</t>
  </si>
  <si>
    <t xml:space="preserve">Cover comparison (~1,800 tokens)</t>
  </si>
  <si>
    <t xml:space="preserve">  Individual — Signature checks/mo</t>
  </si>
  <si>
    <t xml:space="preserve">Sonnet 4.5 (~1,800 tokens)</t>
  </si>
  <si>
    <t xml:space="preserve">  Shop — Gradings/mo</t>
  </si>
  <si>
    <t xml:space="preserve">High volume inventory processing</t>
  </si>
  <si>
    <t xml:space="preserve">  Shop — Listings generated/mo</t>
  </si>
  <si>
    <t xml:space="preserve">Bulk listing creation</t>
  </si>
  <si>
    <t xml:space="preserve">  Shop — Slab Guard CV checks/mo</t>
  </si>
  <si>
    <t xml:space="preserve">Theft protection for inventory</t>
  </si>
  <si>
    <t xml:space="preserve">  Shop — Signature checks/mo</t>
  </si>
  <si>
    <t xml:space="preserve">Sonnet 4.5</t>
  </si>
  <si>
    <t xml:space="preserve">ANTHROPIC API COSTS PER CALL</t>
  </si>
  <si>
    <t xml:space="preserve">  Grading (Sonnet 4 + Vision)</t>
  </si>
  <si>
    <t xml:space="preserve">~1,800 in + 2,048 out + image tokens</t>
  </si>
  <si>
    <t xml:space="preserve">  Listing gen (Sonnet 4)</t>
  </si>
  <si>
    <t xml:space="preserve">~350 in + 600 out</t>
  </si>
  <si>
    <t xml:space="preserve">  Slab Guard CV (Sonnet 4 + Vision)</t>
  </si>
  <si>
    <t xml:space="preserve">~500 in + 1,500 out + image</t>
  </si>
  <si>
    <t xml:space="preserve">  Signature match (Sonnet 4.5)</t>
  </si>
  <si>
    <t xml:space="preserve">~500 in + 1,500 out</t>
  </si>
  <si>
    <t xml:space="preserve">INFRASTRUCTURE (MONTHLY)</t>
  </si>
  <si>
    <t xml:space="preserve">  Render (API server, Standard)</t>
  </si>
  <si>
    <t xml:space="preserve">Standard instance for 5K users</t>
  </si>
  <si>
    <t xml:space="preserve">  Render (PostgreSQL, Standard)</t>
  </si>
  <si>
    <t xml:space="preserve">Managed Postgres</t>
  </si>
  <si>
    <t xml:space="preserve">  Cloudflare R2 storage</t>
  </si>
  <si>
    <t xml:space="preserve">Image storage (~50GB at scale)</t>
  </si>
  <si>
    <t xml:space="preserve">  Cloudflare CDN/DNS (Pro)</t>
  </si>
  <si>
    <t xml:space="preserve">Pro plan for the frontend</t>
  </si>
  <si>
    <t xml:space="preserve">  Domain / SSL</t>
  </si>
  <si>
    <t xml:space="preserve">Annual domain amortized</t>
  </si>
  <si>
    <t xml:space="preserve">  Stripe fees (2.9% + $0.30)</t>
  </si>
  <si>
    <t xml:space="preserve">Calculated from revenue</t>
  </si>
  <si>
    <t xml:space="preserve">  Monitoring / logging</t>
  </si>
  <si>
    <t xml:space="preserve">Sentry, uptime checks</t>
  </si>
  <si>
    <t xml:space="preserve">SLAB WORTHY — YEAR 1 P&amp;L PROJECTION</t>
  </si>
  <si>
    <t xml:space="preserve">5,000 Users (4,500 Individual + 500 Shops)</t>
  </si>
  <si>
    <t xml:space="preserve">REVENUE</t>
  </si>
  <si>
    <t xml:space="preserve">Monthly</t>
  </si>
  <si>
    <t xml:space="preserve">Annual</t>
  </si>
  <si>
    <t xml:space="preserve">Notes</t>
  </si>
  <si>
    <t xml:space="preserve">Individual Collectors (4,500)</t>
  </si>
  <si>
    <t xml:space="preserve">  Free (2,700 users × $0)</t>
  </si>
  <si>
    <t xml:space="preserve">No revenue</t>
  </si>
  <si>
    <t xml:space="preserve">  Pro (1,125 users)</t>
  </si>
  <si>
    <t xml:space="preserve">Blended monthly/annual</t>
  </si>
  <si>
    <t xml:space="preserve">  Guard (540 users)</t>
  </si>
  <si>
    <t xml:space="preserve">  Dealer (135 users)</t>
  </si>
  <si>
    <t xml:space="preserve">  Subtotal — Individuals</t>
  </si>
  <si>
    <t xml:space="preserve">Comic Book Shops (500)</t>
  </si>
  <si>
    <t xml:space="preserve">  Free (50 shops × $0)</t>
  </si>
  <si>
    <t xml:space="preserve">Testing the platform</t>
  </si>
  <si>
    <t xml:space="preserve">  Pro (75 shops)</t>
  </si>
  <si>
    <t xml:space="preserve">Blended</t>
  </si>
  <si>
    <t xml:space="preserve">  Guard (150 shops)</t>
  </si>
  <si>
    <t xml:space="preserve">  Dealer (225 shops)</t>
  </si>
  <si>
    <t xml:space="preserve">Main shop plan</t>
  </si>
  <si>
    <t xml:space="preserve">  Subtotal — Shops</t>
  </si>
  <si>
    <t xml:space="preserve">TOTAL REVENUE</t>
  </si>
  <si>
    <t xml:space="preserve">COSTS</t>
  </si>
  <si>
    <t xml:space="preserve">Anthropic API — Individuals</t>
  </si>
  <si>
    <t xml:space="preserve">  Free individuals (2,700) — Grading</t>
  </si>
  <si>
    <t xml:space="preserve">5 gradings/mo × $0.035</t>
  </si>
  <si>
    <t xml:space="preserve">  Free individuals — Listings</t>
  </si>
  <si>
    <t xml:space="preserve">0.5 listings/mo × $0.010</t>
  </si>
  <si>
    <t xml:space="preserve">  Free individuals — CV checks</t>
  </si>
  <si>
    <t xml:space="preserve">0.2 checks/mo × $0.024</t>
  </si>
  <si>
    <t xml:space="preserve">  Paid individuals (1,800) — Grading</t>
  </si>
  <si>
    <t xml:space="preserve">  Paid individuals — Listings</t>
  </si>
  <si>
    <t xml:space="preserve">1 listing/mo × $0.010</t>
  </si>
  <si>
    <t xml:space="preserve">  Paid individuals — CV checks</t>
  </si>
  <si>
    <t xml:space="preserve">0.5 checks/mo × $0.024</t>
  </si>
  <si>
    <t xml:space="preserve">  Paid individuals — Sig checks</t>
  </si>
  <si>
    <t xml:space="preserve">0.1 checks/mo × $0.024</t>
  </si>
  <si>
    <t xml:space="preserve">  Subtotal — Individual API</t>
  </si>
  <si>
    <t xml:space="preserve">Anthropic API — Shops</t>
  </si>
  <si>
    <t xml:space="preserve">  Free shops (50) — Grading</t>
  </si>
  <si>
    <t xml:space="preserve">10 gradings/mo × $0.035</t>
  </si>
  <si>
    <t xml:space="preserve">  Free shops — Listings</t>
  </si>
  <si>
    <t xml:space="preserve">2 listings/mo × $0.010</t>
  </si>
  <si>
    <t xml:space="preserve">  Free shops — CV checks</t>
  </si>
  <si>
    <t xml:space="preserve">1 check/mo × $0.024</t>
  </si>
  <si>
    <t xml:space="preserve">  Paid shops (450) — Grading</t>
  </si>
  <si>
    <t xml:space="preserve">80 gradings/mo × $0.035</t>
  </si>
  <si>
    <t xml:space="preserve">  Paid shops — Listings</t>
  </si>
  <si>
    <t xml:space="preserve">40 listings/mo × $0.010</t>
  </si>
  <si>
    <t xml:space="preserve">  Paid shops — CV checks</t>
  </si>
  <si>
    <t xml:space="preserve">10 checks/mo × $0.024</t>
  </si>
  <si>
    <t xml:space="preserve">  Paid shops — Sig checks</t>
  </si>
  <si>
    <t xml:space="preserve">2 checks/mo × $0.024</t>
  </si>
  <si>
    <t xml:space="preserve">  Subtotal — Shop API</t>
  </si>
  <si>
    <t xml:space="preserve">  TOTAL ANTHROPIC API</t>
  </si>
  <si>
    <t xml:space="preserve">Infrastructure</t>
  </si>
  <si>
    <t xml:space="preserve">  Render API server (Standard)</t>
  </si>
  <si>
    <t xml:space="preserve">Flask/Gunicorn</t>
  </si>
  <si>
    <t xml:space="preserve">  Render PostgreSQL (Standard)</t>
  </si>
  <si>
    <t xml:space="preserve">Managed database</t>
  </si>
  <si>
    <t xml:space="preserve">~50GB images at scale</t>
  </si>
  <si>
    <t xml:space="preserve">  Cloudflare CDN/DNS Pro</t>
  </si>
  <si>
    <t xml:space="preserve">Frontend delivery</t>
  </si>
  <si>
    <t xml:space="preserve">Amortized annually</t>
  </si>
  <si>
    <t xml:space="preserve">  Monitoring (Sentry, etc.)</t>
  </si>
  <si>
    <t xml:space="preserve">Error tracking, uptime</t>
  </si>
  <si>
    <t xml:space="preserve">  Subtotal — Infrastructure</t>
  </si>
  <si>
    <t xml:space="preserve">Stripe processing fees</t>
  </si>
  <si>
    <t xml:space="preserve">2.9% + $0.30/txn × 2,250 paying users</t>
  </si>
  <si>
    <t xml:space="preserve">TOTAL COSTS</t>
  </si>
  <si>
    <t xml:space="preserve">NET PROFIT (BEFORE TAX)</t>
  </si>
  <si>
    <t xml:space="preserve">Gross Margin %</t>
  </si>
  <si>
    <t xml:space="preserve">Anthropic API as % of Revenue</t>
  </si>
  <si>
    <t xml:space="preserve">Total Cost per User / month</t>
  </si>
  <si>
    <t xml:space="preserve">Revenue per User / month (ARPU)</t>
  </si>
  <si>
    <t xml:space="preserve">UNIT ECONOMICS BY USER TYPE</t>
  </si>
  <si>
    <t xml:space="preserve">Free User</t>
  </si>
  <si>
    <t xml:space="preserve">Pro User</t>
  </si>
  <si>
    <t xml:space="preserve">Guard User</t>
  </si>
  <si>
    <t xml:space="preserve">Dealer User</t>
  </si>
  <si>
    <t xml:space="preserve">Avg Shop (Dealer)</t>
  </si>
  <si>
    <t xml:space="preserve">Monthly Revenue</t>
  </si>
  <si>
    <t xml:space="preserve">Monthly API Cost</t>
  </si>
  <si>
    <t xml:space="preserve">Contribution Margin</t>
  </si>
  <si>
    <t xml:space="preserve">Margin %</t>
  </si>
  <si>
    <t xml:space="preserve">N/A</t>
  </si>
  <si>
    <t xml:space="preserve">KEY INSIGHT:</t>
  </si>
  <si>
    <t xml:space="preserve">Shop Dealer users cost ~$3.49/mo in API but pay $23.49/mo</t>
  </si>
  <si>
    <t xml:space="preserve">Free individual users cost ~$0.18/mo with no revenue</t>
  </si>
  <si>
    <t xml:space="preserve">Even with heavy API usage, margins are strong (85%+)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</si>
</sst>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%"/>
    <numFmt numFmtId="167" formatCode="\$#,##0.000"/>
    <numFmt numFmtId="168" formatCode="\$#,##0"/>
    <numFmt numFmtId="169" formatCode="0.0%"/>
    <numFmt numFmtId="170" formatCode="\$#,##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F46E5"/>
      <name val="Cambria"/>
      <family val="0"/>
      <charset val="1"/>
    </font>
    <font>
      <b val="true"/>
      <sz val="11"/>
      <color rgb="FF1A237E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color rgb="FF1A237E"/>
      <name val="Cambria"/>
      <family val="0"/>
      <charset val="1"/>
    </font>
    <font>
      <b val="true"/>
      <u val="single"/>
      <sz val="11"/>
      <name val="Cambria"/>
      <family val="0"/>
      <charset val="1"/>
    </font>
    <font>
      <i val="true"/>
      <sz val="9"/>
      <color rgb="FF888888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B71C1C"/>
      <name val="Cambria"/>
      <family val="0"/>
      <charset val="1"/>
    </font>
    <font>
      <b val="true"/>
      <sz val="12"/>
      <color rgb="FFB71C1C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11"/>
      <color rgb="FF999999"/>
      <name val="Cambria"/>
      <family val="0"/>
      <charset val="1"/>
    </font>
    <font>
      <sz val="11"/>
      <color rgb="FF333333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8EAF6"/>
        <bgColor rgb="FFE8F5E9"/>
      </patternFill>
    </fill>
    <fill>
      <patternFill patternType="solid">
        <fgColor rgb="FFFFFFDD"/>
        <bgColor rgb="FFFFFFFF"/>
      </patternFill>
    </fill>
    <fill>
      <patternFill patternType="solid">
        <fgColor rgb="FFE8F5E9"/>
        <bgColor rgb="FFE8EAF6"/>
      </patternFill>
    </fill>
    <fill>
      <patternFill patternType="solid">
        <fgColor rgb="FFFFEBEE"/>
        <bgColor rgb="FFE8EAF6"/>
      </patternFill>
    </fill>
    <fill>
      <patternFill patternType="solid">
        <fgColor rgb="FFC8E6C9"/>
        <bgColor rgb="FFE8EAF6"/>
      </patternFill>
    </fill>
    <fill>
      <patternFill patternType="solid">
        <fgColor rgb="FF4F46E5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DD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AF6"/>
      <rgbColor rgb="FFC8E6C9"/>
      <rgbColor rgb="FFFFEBEE"/>
      <rgbColor rgb="FF99CCFF"/>
      <rgbColor rgb="FFFF99CC"/>
      <rgbColor rgb="FFCC99FF"/>
      <rgbColor rgb="FFFFCC99"/>
      <rgbColor rgb="FF4F46E5"/>
      <rgbColor rgb="FF33CCCC"/>
      <rgbColor rgb="FF99CC00"/>
      <rgbColor rgb="FFFFCC00"/>
      <rgbColor rgb="FFF59E0B"/>
      <rgbColor rgb="FFFF6600"/>
      <rgbColor rgb="FF666666"/>
      <rgbColor rgb="FF999999"/>
      <rgbColor rgb="FF1A237E"/>
      <rgbColor rgb="FF10B981"/>
      <rgbColor rgb="FF003300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false"/>
  </sheetPr>
  <dimension ref="A1:C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  <c r="C3" s="3"/>
    </row>
    <row r="4" customFormat="false" ht="15" hidden="false" customHeight="false" outlineLevel="0" collapsed="false">
      <c r="A4" s="0" t="s">
        <v>2</v>
      </c>
      <c r="B4" s="4" t="n">
        <v>5000</v>
      </c>
    </row>
    <row r="5" customFormat="false" ht="15" hidden="false" customHeight="false" outlineLevel="0" collapsed="false">
      <c r="A5" s="0" t="s">
        <v>3</v>
      </c>
      <c r="B5" s="4" t="n">
        <v>4500</v>
      </c>
    </row>
    <row r="6" customFormat="false" ht="15" hidden="false" customHeight="false" outlineLevel="0" collapsed="false">
      <c r="A6" s="0" t="s">
        <v>4</v>
      </c>
      <c r="B6" s="4" t="n">
        <v>500</v>
      </c>
    </row>
    <row r="8" customFormat="false" ht="15" hidden="false" customHeight="false" outlineLevel="0" collapsed="false">
      <c r="A8" s="2" t="s">
        <v>5</v>
      </c>
      <c r="B8" s="3"/>
      <c r="C8" s="3"/>
    </row>
    <row r="9" customFormat="false" ht="15" hidden="false" customHeight="false" outlineLevel="0" collapsed="false">
      <c r="A9" s="0" t="s">
        <v>6</v>
      </c>
      <c r="B9" s="5" t="n">
        <v>0.6</v>
      </c>
      <c r="C9" s="6" t="s">
        <v>7</v>
      </c>
    </row>
    <row r="10" customFormat="false" ht="15" hidden="false" customHeight="false" outlineLevel="0" collapsed="false">
      <c r="A10" s="0" t="s">
        <v>8</v>
      </c>
      <c r="B10" s="5" t="n">
        <v>0.25</v>
      </c>
      <c r="C10" s="6" t="s">
        <v>9</v>
      </c>
    </row>
    <row r="11" customFormat="false" ht="15" hidden="false" customHeight="false" outlineLevel="0" collapsed="false">
      <c r="A11" s="0" t="s">
        <v>10</v>
      </c>
      <c r="B11" s="5" t="n">
        <v>0.12</v>
      </c>
      <c r="C11" s="6" t="s">
        <v>11</v>
      </c>
    </row>
    <row r="12" customFormat="false" ht="15" hidden="false" customHeight="false" outlineLevel="0" collapsed="false">
      <c r="A12" s="0" t="s">
        <v>12</v>
      </c>
      <c r="B12" s="5" t="n">
        <v>0.03</v>
      </c>
      <c r="C12" s="6" t="s">
        <v>13</v>
      </c>
    </row>
    <row r="14" customFormat="false" ht="15" hidden="false" customHeight="false" outlineLevel="0" collapsed="false">
      <c r="A14" s="2" t="s">
        <v>14</v>
      </c>
      <c r="B14" s="3"/>
      <c r="C14" s="3"/>
    </row>
    <row r="15" customFormat="false" ht="15" hidden="false" customHeight="false" outlineLevel="0" collapsed="false">
      <c r="A15" s="0" t="s">
        <v>6</v>
      </c>
      <c r="B15" s="5" t="n">
        <v>0.1</v>
      </c>
      <c r="C15" s="6" t="s">
        <v>15</v>
      </c>
    </row>
    <row r="16" customFormat="false" ht="15" hidden="false" customHeight="false" outlineLevel="0" collapsed="false">
      <c r="A16" s="0" t="s">
        <v>8</v>
      </c>
      <c r="B16" s="5" t="n">
        <v>0.15</v>
      </c>
      <c r="C16" s="6" t="s">
        <v>16</v>
      </c>
    </row>
    <row r="17" customFormat="false" ht="15" hidden="false" customHeight="false" outlineLevel="0" collapsed="false">
      <c r="A17" s="0" t="s">
        <v>10</v>
      </c>
      <c r="B17" s="5" t="n">
        <v>0.3</v>
      </c>
      <c r="C17" s="6" t="s">
        <v>17</v>
      </c>
    </row>
    <row r="18" customFormat="false" ht="15" hidden="false" customHeight="false" outlineLevel="0" collapsed="false">
      <c r="A18" s="0" t="s">
        <v>12</v>
      </c>
      <c r="B18" s="5" t="n">
        <v>0.45</v>
      </c>
      <c r="C18" s="6" t="s">
        <v>18</v>
      </c>
    </row>
    <row r="20" customFormat="false" ht="15" hidden="false" customHeight="false" outlineLevel="0" collapsed="false">
      <c r="A20" s="2" t="s">
        <v>19</v>
      </c>
      <c r="B20" s="3"/>
      <c r="C20" s="3"/>
    </row>
    <row r="21" customFormat="false" ht="15" hidden="false" customHeight="false" outlineLevel="0" collapsed="false">
      <c r="A21" s="0" t="s">
        <v>20</v>
      </c>
      <c r="B21" s="5" t="n">
        <v>0.3</v>
      </c>
      <c r="C21" s="6" t="s">
        <v>21</v>
      </c>
    </row>
    <row r="23" customFormat="false" ht="15" hidden="false" customHeight="false" outlineLevel="0" collapsed="false">
      <c r="A23" s="2" t="s">
        <v>22</v>
      </c>
      <c r="B23" s="3"/>
      <c r="C23" s="3"/>
    </row>
    <row r="24" customFormat="false" ht="15" hidden="false" customHeight="false" outlineLevel="0" collapsed="false">
      <c r="A24" s="0" t="s">
        <v>23</v>
      </c>
      <c r="B24" s="7" t="n">
        <v>5</v>
      </c>
      <c r="C24" s="6" t="s">
        <v>24</v>
      </c>
    </row>
    <row r="25" customFormat="false" ht="15" hidden="false" customHeight="false" outlineLevel="0" collapsed="false">
      <c r="A25" s="0" t="s">
        <v>25</v>
      </c>
      <c r="B25" s="7" t="n">
        <v>1</v>
      </c>
      <c r="C25" s="6" t="s">
        <v>26</v>
      </c>
    </row>
    <row r="26" customFormat="false" ht="15" hidden="false" customHeight="false" outlineLevel="0" collapsed="false">
      <c r="A26" s="0" t="s">
        <v>27</v>
      </c>
      <c r="B26" s="7" t="n">
        <v>0.5</v>
      </c>
      <c r="C26" s="6" t="s">
        <v>28</v>
      </c>
    </row>
    <row r="27" customFormat="false" ht="15" hidden="false" customHeight="false" outlineLevel="0" collapsed="false">
      <c r="A27" s="0" t="s">
        <v>29</v>
      </c>
      <c r="B27" s="7" t="n">
        <v>0.1</v>
      </c>
      <c r="C27" s="6" t="s">
        <v>30</v>
      </c>
    </row>
    <row r="28" customFormat="false" ht="15" hidden="false" customHeight="false" outlineLevel="0" collapsed="false">
      <c r="A28" s="0" t="s">
        <v>31</v>
      </c>
      <c r="B28" s="7" t="n">
        <v>80</v>
      </c>
      <c r="C28" s="6" t="s">
        <v>32</v>
      </c>
    </row>
    <row r="29" customFormat="false" ht="15" hidden="false" customHeight="false" outlineLevel="0" collapsed="false">
      <c r="A29" s="0" t="s">
        <v>33</v>
      </c>
      <c r="B29" s="7" t="n">
        <v>40</v>
      </c>
      <c r="C29" s="6" t="s">
        <v>34</v>
      </c>
    </row>
    <row r="30" customFormat="false" ht="15" hidden="false" customHeight="false" outlineLevel="0" collapsed="false">
      <c r="A30" s="0" t="s">
        <v>35</v>
      </c>
      <c r="B30" s="7" t="n">
        <v>10</v>
      </c>
      <c r="C30" s="6" t="s">
        <v>36</v>
      </c>
    </row>
    <row r="31" customFormat="false" ht="15" hidden="false" customHeight="false" outlineLevel="0" collapsed="false">
      <c r="A31" s="0" t="s">
        <v>37</v>
      </c>
      <c r="B31" s="7" t="n">
        <v>2</v>
      </c>
      <c r="C31" s="6" t="s">
        <v>38</v>
      </c>
    </row>
    <row r="33" customFormat="false" ht="15" hidden="false" customHeight="false" outlineLevel="0" collapsed="false">
      <c r="A33" s="2" t="s">
        <v>39</v>
      </c>
      <c r="B33" s="3"/>
      <c r="C33" s="3"/>
    </row>
    <row r="34" customFormat="false" ht="15" hidden="false" customHeight="false" outlineLevel="0" collapsed="false">
      <c r="A34" s="0" t="s">
        <v>40</v>
      </c>
      <c r="B34" s="8" t="n">
        <v>0.035</v>
      </c>
      <c r="C34" s="6" t="s">
        <v>41</v>
      </c>
    </row>
    <row r="35" customFormat="false" ht="15" hidden="false" customHeight="false" outlineLevel="0" collapsed="false">
      <c r="A35" s="0" t="s">
        <v>42</v>
      </c>
      <c r="B35" s="8" t="n">
        <v>0.01</v>
      </c>
      <c r="C35" s="6" t="s">
        <v>43</v>
      </c>
    </row>
    <row r="36" customFormat="false" ht="15" hidden="false" customHeight="false" outlineLevel="0" collapsed="false">
      <c r="A36" s="0" t="s">
        <v>44</v>
      </c>
      <c r="B36" s="8" t="n">
        <v>0.024</v>
      </c>
      <c r="C36" s="6" t="s">
        <v>45</v>
      </c>
    </row>
    <row r="37" customFormat="false" ht="15" hidden="false" customHeight="false" outlineLevel="0" collapsed="false">
      <c r="A37" s="0" t="s">
        <v>46</v>
      </c>
      <c r="B37" s="8" t="n">
        <v>0.024</v>
      </c>
      <c r="C37" s="6" t="s">
        <v>47</v>
      </c>
    </row>
    <row r="39" customFormat="false" ht="15" hidden="false" customHeight="false" outlineLevel="0" collapsed="false">
      <c r="A39" s="2" t="s">
        <v>48</v>
      </c>
      <c r="B39" s="3"/>
      <c r="C39" s="3"/>
    </row>
    <row r="40" customFormat="false" ht="15" hidden="false" customHeight="false" outlineLevel="0" collapsed="false">
      <c r="A40" s="0" t="s">
        <v>49</v>
      </c>
      <c r="B40" s="9" t="n">
        <v>25</v>
      </c>
      <c r="C40" s="6" t="s">
        <v>50</v>
      </c>
    </row>
    <row r="41" customFormat="false" ht="15" hidden="false" customHeight="false" outlineLevel="0" collapsed="false">
      <c r="A41" s="0" t="s">
        <v>51</v>
      </c>
      <c r="B41" s="9" t="n">
        <v>20</v>
      </c>
      <c r="C41" s="6" t="s">
        <v>52</v>
      </c>
    </row>
    <row r="42" customFormat="false" ht="15" hidden="false" customHeight="false" outlineLevel="0" collapsed="false">
      <c r="A42" s="0" t="s">
        <v>53</v>
      </c>
      <c r="B42" s="9" t="n">
        <v>15</v>
      </c>
      <c r="C42" s="6" t="s">
        <v>54</v>
      </c>
    </row>
    <row r="43" customFormat="false" ht="15" hidden="false" customHeight="false" outlineLevel="0" collapsed="false">
      <c r="A43" s="0" t="s">
        <v>55</v>
      </c>
      <c r="B43" s="9" t="n">
        <v>20</v>
      </c>
      <c r="C43" s="6" t="s">
        <v>56</v>
      </c>
    </row>
    <row r="44" customFormat="false" ht="15" hidden="false" customHeight="false" outlineLevel="0" collapsed="false">
      <c r="A44" s="0" t="s">
        <v>57</v>
      </c>
      <c r="B44" s="9" t="n">
        <v>2</v>
      </c>
      <c r="C44" s="6" t="s">
        <v>58</v>
      </c>
    </row>
    <row r="45" customFormat="false" ht="15" hidden="false" customHeight="false" outlineLevel="0" collapsed="false">
      <c r="A45" s="0" t="s">
        <v>59</v>
      </c>
      <c r="B45" s="9" t="n">
        <v>0</v>
      </c>
      <c r="C45" s="6" t="s">
        <v>60</v>
      </c>
    </row>
    <row r="46" customFormat="false" ht="15" hidden="false" customHeight="false" outlineLevel="0" collapsed="false">
      <c r="A46" s="0" t="s">
        <v>61</v>
      </c>
      <c r="B46" s="9" t="n">
        <v>10</v>
      </c>
      <c r="C46" s="6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D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6" t="s">
        <v>64</v>
      </c>
    </row>
    <row r="4" customFormat="false" ht="15" hidden="false" customHeight="false" outlineLevel="0" collapsed="false">
      <c r="A4" s="10" t="s">
        <v>65</v>
      </c>
      <c r="B4" s="2" t="s">
        <v>66</v>
      </c>
      <c r="C4" s="2" t="s">
        <v>67</v>
      </c>
      <c r="D4" s="2" t="s">
        <v>68</v>
      </c>
    </row>
    <row r="5" customFormat="false" ht="15" hidden="false" customHeight="false" outlineLevel="0" collapsed="false">
      <c r="A5" s="11" t="s">
        <v>69</v>
      </c>
    </row>
    <row r="6" customFormat="false" ht="15" hidden="false" customHeight="false" outlineLevel="0" collapsed="false">
      <c r="A6" s="0" t="s">
        <v>70</v>
      </c>
      <c r="B6" s="12" t="n">
        <v>0</v>
      </c>
      <c r="D6" s="13" t="s">
        <v>71</v>
      </c>
    </row>
    <row r="7" customFormat="false" ht="15" hidden="false" customHeight="false" outlineLevel="0" collapsed="false">
      <c r="A7" s="0" t="s">
        <v>72</v>
      </c>
      <c r="B7" s="12" t="n">
        <v>5337</v>
      </c>
      <c r="D7" s="13" t="s">
        <v>73</v>
      </c>
    </row>
    <row r="8" customFormat="false" ht="15" hidden="false" customHeight="false" outlineLevel="0" collapsed="false">
      <c r="A8" s="0" t="s">
        <v>74</v>
      </c>
      <c r="B8" s="12" t="n">
        <v>4991.22</v>
      </c>
      <c r="D8" s="13" t="s">
        <v>73</v>
      </c>
    </row>
    <row r="9" customFormat="false" ht="15" hidden="false" customHeight="false" outlineLevel="0" collapsed="false">
      <c r="A9" s="0" t="s">
        <v>75</v>
      </c>
      <c r="B9" s="12" t="n">
        <v>3171.55</v>
      </c>
      <c r="D9" s="13" t="s">
        <v>73</v>
      </c>
    </row>
    <row r="10" customFormat="false" ht="15" hidden="false" customHeight="false" outlineLevel="0" collapsed="false">
      <c r="A10" s="14" t="s">
        <v>76</v>
      </c>
      <c r="B10" s="15" t="n">
        <f aca="false">SUM(B6:B9)</f>
        <v>13499.77</v>
      </c>
      <c r="C10" s="15" t="n">
        <f aca="false">B10*12</f>
        <v>161997.24</v>
      </c>
      <c r="D10" s="14"/>
    </row>
    <row r="12" customFormat="false" ht="15" hidden="false" customHeight="false" outlineLevel="0" collapsed="false">
      <c r="A12" s="11" t="s">
        <v>77</v>
      </c>
    </row>
    <row r="13" customFormat="false" ht="15" hidden="false" customHeight="false" outlineLevel="0" collapsed="false">
      <c r="A13" s="0" t="s">
        <v>78</v>
      </c>
      <c r="B13" s="12" t="n">
        <v>0</v>
      </c>
      <c r="D13" s="13" t="s">
        <v>79</v>
      </c>
    </row>
    <row r="14" customFormat="false" ht="15" hidden="false" customHeight="false" outlineLevel="0" collapsed="false">
      <c r="A14" s="0" t="s">
        <v>80</v>
      </c>
      <c r="B14" s="12" t="n">
        <v>355.8</v>
      </c>
      <c r="D14" s="13" t="s">
        <v>81</v>
      </c>
    </row>
    <row r="15" customFormat="false" ht="15" hidden="false" customHeight="false" outlineLevel="0" collapsed="false">
      <c r="A15" s="0" t="s">
        <v>82</v>
      </c>
      <c r="B15" s="12" t="n">
        <v>1386.45</v>
      </c>
      <c r="D15" s="13" t="s">
        <v>81</v>
      </c>
    </row>
    <row r="16" customFormat="false" ht="15" hidden="false" customHeight="false" outlineLevel="0" collapsed="false">
      <c r="A16" s="0" t="s">
        <v>83</v>
      </c>
      <c r="B16" s="12" t="n">
        <v>5285.92</v>
      </c>
      <c r="D16" s="13" t="s">
        <v>84</v>
      </c>
    </row>
    <row r="17" customFormat="false" ht="15" hidden="false" customHeight="false" outlineLevel="0" collapsed="false">
      <c r="A17" s="14" t="s">
        <v>85</v>
      </c>
      <c r="B17" s="15" t="n">
        <f aca="false">SUM(B13:B16)</f>
        <v>7028.17</v>
      </c>
      <c r="C17" s="15" t="n">
        <f aca="false">B17*12</f>
        <v>84338.04</v>
      </c>
      <c r="D17" s="14"/>
    </row>
    <row r="19" customFormat="false" ht="15" hidden="false" customHeight="false" outlineLevel="0" collapsed="false">
      <c r="A19" s="16" t="s">
        <v>86</v>
      </c>
      <c r="B19" s="17" t="n">
        <f aca="false">B10+B17</f>
        <v>20527.94</v>
      </c>
      <c r="C19" s="17" t="n">
        <f aca="false">B19*12</f>
        <v>246335.28</v>
      </c>
      <c r="D19" s="18"/>
    </row>
    <row r="22" customFormat="false" ht="15" hidden="false" customHeight="false" outlineLevel="0" collapsed="false">
      <c r="A22" s="10" t="s">
        <v>87</v>
      </c>
      <c r="B22" s="2" t="s">
        <v>66</v>
      </c>
      <c r="C22" s="2" t="s">
        <v>67</v>
      </c>
      <c r="D22" s="2" t="s">
        <v>68</v>
      </c>
    </row>
    <row r="23" customFormat="false" ht="15" hidden="false" customHeight="false" outlineLevel="0" collapsed="false">
      <c r="A23" s="11" t="s">
        <v>88</v>
      </c>
    </row>
    <row r="24" customFormat="false" ht="15" hidden="false" customHeight="false" outlineLevel="0" collapsed="false">
      <c r="A24" s="0" t="s">
        <v>89</v>
      </c>
      <c r="B24" s="12" t="n">
        <v>472.5</v>
      </c>
      <c r="D24" s="13" t="s">
        <v>90</v>
      </c>
    </row>
    <row r="25" customFormat="false" ht="15" hidden="false" customHeight="false" outlineLevel="0" collapsed="false">
      <c r="A25" s="0" t="s">
        <v>91</v>
      </c>
      <c r="B25" s="12" t="n">
        <v>13.5</v>
      </c>
      <c r="D25" s="13" t="s">
        <v>92</v>
      </c>
    </row>
    <row r="26" customFormat="false" ht="15" hidden="false" customHeight="false" outlineLevel="0" collapsed="false">
      <c r="A26" s="0" t="s">
        <v>93</v>
      </c>
      <c r="B26" s="12" t="n">
        <v>12.96</v>
      </c>
      <c r="D26" s="13" t="s">
        <v>94</v>
      </c>
    </row>
    <row r="27" customFormat="false" ht="15" hidden="false" customHeight="false" outlineLevel="0" collapsed="false">
      <c r="A27" s="0" t="s">
        <v>95</v>
      </c>
      <c r="B27" s="12" t="n">
        <v>315</v>
      </c>
      <c r="D27" s="13" t="s">
        <v>90</v>
      </c>
    </row>
    <row r="28" customFormat="false" ht="15" hidden="false" customHeight="false" outlineLevel="0" collapsed="false">
      <c r="A28" s="0" t="s">
        <v>96</v>
      </c>
      <c r="B28" s="12" t="n">
        <v>18</v>
      </c>
      <c r="D28" s="13" t="s">
        <v>97</v>
      </c>
    </row>
    <row r="29" customFormat="false" ht="15" hidden="false" customHeight="false" outlineLevel="0" collapsed="false">
      <c r="A29" s="0" t="s">
        <v>98</v>
      </c>
      <c r="B29" s="12" t="n">
        <v>21.6</v>
      </c>
      <c r="D29" s="13" t="s">
        <v>99</v>
      </c>
    </row>
    <row r="30" customFormat="false" ht="15" hidden="false" customHeight="false" outlineLevel="0" collapsed="false">
      <c r="A30" s="0" t="s">
        <v>100</v>
      </c>
      <c r="B30" s="12" t="n">
        <v>4.32</v>
      </c>
      <c r="D30" s="13" t="s">
        <v>101</v>
      </c>
    </row>
    <row r="31" customFormat="false" ht="15" hidden="false" customHeight="false" outlineLevel="0" collapsed="false">
      <c r="A31" s="14" t="s">
        <v>102</v>
      </c>
      <c r="B31" s="15" t="n">
        <f aca="false">SUM(B24:B30)</f>
        <v>857.88</v>
      </c>
      <c r="C31" s="15" t="n">
        <f aca="false">B31*12</f>
        <v>10294.56</v>
      </c>
      <c r="D31" s="14"/>
    </row>
    <row r="33" customFormat="false" ht="15" hidden="false" customHeight="false" outlineLevel="0" collapsed="false">
      <c r="A33" s="11" t="s">
        <v>103</v>
      </c>
    </row>
    <row r="34" customFormat="false" ht="15" hidden="false" customHeight="false" outlineLevel="0" collapsed="false">
      <c r="A34" s="0" t="s">
        <v>104</v>
      </c>
      <c r="B34" s="12" t="n">
        <v>17.5</v>
      </c>
      <c r="D34" s="13" t="s">
        <v>105</v>
      </c>
    </row>
    <row r="35" customFormat="false" ht="15" hidden="false" customHeight="false" outlineLevel="0" collapsed="false">
      <c r="A35" s="0" t="s">
        <v>106</v>
      </c>
      <c r="B35" s="12" t="n">
        <v>1</v>
      </c>
      <c r="D35" s="13" t="s">
        <v>107</v>
      </c>
    </row>
    <row r="36" customFormat="false" ht="15" hidden="false" customHeight="false" outlineLevel="0" collapsed="false">
      <c r="A36" s="0" t="s">
        <v>108</v>
      </c>
      <c r="B36" s="12" t="n">
        <v>1.2</v>
      </c>
      <c r="D36" s="13" t="s">
        <v>109</v>
      </c>
    </row>
    <row r="37" customFormat="false" ht="15" hidden="false" customHeight="false" outlineLevel="0" collapsed="false">
      <c r="A37" s="0" t="s">
        <v>110</v>
      </c>
      <c r="B37" s="12" t="n">
        <v>1260</v>
      </c>
      <c r="D37" s="13" t="s">
        <v>111</v>
      </c>
    </row>
    <row r="38" customFormat="false" ht="15" hidden="false" customHeight="false" outlineLevel="0" collapsed="false">
      <c r="A38" s="0" t="s">
        <v>112</v>
      </c>
      <c r="B38" s="12" t="n">
        <v>180</v>
      </c>
      <c r="D38" s="13" t="s">
        <v>113</v>
      </c>
    </row>
    <row r="39" customFormat="false" ht="15" hidden="false" customHeight="false" outlineLevel="0" collapsed="false">
      <c r="A39" s="0" t="s">
        <v>114</v>
      </c>
      <c r="B39" s="12" t="n">
        <v>108</v>
      </c>
      <c r="D39" s="13" t="s">
        <v>115</v>
      </c>
    </row>
    <row r="40" customFormat="false" ht="15" hidden="false" customHeight="false" outlineLevel="0" collapsed="false">
      <c r="A40" s="0" t="s">
        <v>116</v>
      </c>
      <c r="B40" s="12" t="n">
        <v>21.6</v>
      </c>
      <c r="D40" s="13" t="s">
        <v>117</v>
      </c>
    </row>
    <row r="41" customFormat="false" ht="15" hidden="false" customHeight="false" outlineLevel="0" collapsed="false">
      <c r="A41" s="14" t="s">
        <v>118</v>
      </c>
      <c r="B41" s="15" t="n">
        <f aca="false">SUM(B34:B40)</f>
        <v>1589.3</v>
      </c>
      <c r="C41" s="15" t="n">
        <f aca="false">B41*12</f>
        <v>19071.6</v>
      </c>
      <c r="D41" s="14"/>
    </row>
    <row r="43" customFormat="false" ht="15" hidden="false" customHeight="false" outlineLevel="0" collapsed="false">
      <c r="A43" s="19" t="s">
        <v>119</v>
      </c>
      <c r="B43" s="20" t="n">
        <f aca="false">B31+B41</f>
        <v>2447.18</v>
      </c>
      <c r="C43" s="20" t="n">
        <f aca="false">B43*12</f>
        <v>29366.16</v>
      </c>
    </row>
    <row r="45" customFormat="false" ht="15" hidden="false" customHeight="false" outlineLevel="0" collapsed="false">
      <c r="A45" s="11" t="s">
        <v>120</v>
      </c>
    </row>
    <row r="46" customFormat="false" ht="15" hidden="false" customHeight="false" outlineLevel="0" collapsed="false">
      <c r="A46" s="0" t="s">
        <v>121</v>
      </c>
      <c r="B46" s="12" t="n">
        <v>25</v>
      </c>
      <c r="D46" s="13" t="s">
        <v>122</v>
      </c>
    </row>
    <row r="47" customFormat="false" ht="15" hidden="false" customHeight="false" outlineLevel="0" collapsed="false">
      <c r="A47" s="0" t="s">
        <v>123</v>
      </c>
      <c r="B47" s="12" t="n">
        <v>20</v>
      </c>
      <c r="D47" s="13" t="s">
        <v>124</v>
      </c>
    </row>
    <row r="48" customFormat="false" ht="15" hidden="false" customHeight="false" outlineLevel="0" collapsed="false">
      <c r="A48" s="0" t="s">
        <v>53</v>
      </c>
      <c r="B48" s="12" t="n">
        <v>15</v>
      </c>
      <c r="D48" s="13" t="s">
        <v>125</v>
      </c>
    </row>
    <row r="49" customFormat="false" ht="15" hidden="false" customHeight="false" outlineLevel="0" collapsed="false">
      <c r="A49" s="0" t="s">
        <v>126</v>
      </c>
      <c r="B49" s="12" t="n">
        <v>20</v>
      </c>
      <c r="D49" s="13" t="s">
        <v>127</v>
      </c>
    </row>
    <row r="50" customFormat="false" ht="15" hidden="false" customHeight="false" outlineLevel="0" collapsed="false">
      <c r="A50" s="0" t="s">
        <v>57</v>
      </c>
      <c r="B50" s="12" t="n">
        <v>2</v>
      </c>
      <c r="D50" s="13" t="s">
        <v>128</v>
      </c>
    </row>
    <row r="51" customFormat="false" ht="15" hidden="false" customHeight="false" outlineLevel="0" collapsed="false">
      <c r="A51" s="0" t="s">
        <v>129</v>
      </c>
      <c r="B51" s="12" t="n">
        <v>10</v>
      </c>
      <c r="D51" s="13" t="s">
        <v>130</v>
      </c>
    </row>
    <row r="52" customFormat="false" ht="15" hidden="false" customHeight="false" outlineLevel="0" collapsed="false">
      <c r="A52" s="14" t="s">
        <v>131</v>
      </c>
      <c r="B52" s="15" t="n">
        <f aca="false">SUM(B46:B51)</f>
        <v>92</v>
      </c>
      <c r="C52" s="15" t="n">
        <f aca="false">B52*12</f>
        <v>1104</v>
      </c>
      <c r="D52" s="14"/>
    </row>
    <row r="54" customFormat="false" ht="15" hidden="false" customHeight="false" outlineLevel="0" collapsed="false">
      <c r="A54" s="21" t="s">
        <v>132</v>
      </c>
      <c r="B54" s="12" t="n">
        <f aca="false">B19*0.029+2250*0.3</f>
        <v>1270.31026</v>
      </c>
      <c r="C54" s="22" t="n">
        <f aca="false">B54*12</f>
        <v>15243.72312</v>
      </c>
      <c r="D54" s="13" t="s">
        <v>133</v>
      </c>
    </row>
    <row r="56" customFormat="false" ht="15" hidden="false" customHeight="false" outlineLevel="0" collapsed="false">
      <c r="A56" s="23" t="s">
        <v>134</v>
      </c>
      <c r="B56" s="24" t="n">
        <f aca="false">B43+B52+B54</f>
        <v>3809.49026</v>
      </c>
      <c r="C56" s="24" t="n">
        <f aca="false">B56*12</f>
        <v>45713.88312</v>
      </c>
      <c r="D56" s="25"/>
    </row>
    <row r="59" customFormat="false" ht="17.35" hidden="false" customHeight="false" outlineLevel="0" collapsed="false">
      <c r="A59" s="26" t="s">
        <v>135</v>
      </c>
      <c r="B59" s="27" t="n">
        <f aca="false">B19-B56</f>
        <v>16718.44974</v>
      </c>
      <c r="C59" s="27" t="n">
        <f aca="false">B59*12</f>
        <v>200621.39688</v>
      </c>
      <c r="D59" s="28"/>
    </row>
    <row r="61" customFormat="false" ht="15" hidden="false" customHeight="false" outlineLevel="0" collapsed="false">
      <c r="A61" s="21" t="s">
        <v>136</v>
      </c>
      <c r="B61" s="29" t="n">
        <f aca="false">B59/B19</f>
        <v>0.814424133157053</v>
      </c>
    </row>
    <row r="62" customFormat="false" ht="15" hidden="false" customHeight="false" outlineLevel="0" collapsed="false">
      <c r="A62" s="6" t="s">
        <v>137</v>
      </c>
      <c r="B62" s="30" t="n">
        <f aca="false">B43/B19</f>
        <v>0.119212156699601</v>
      </c>
    </row>
    <row r="63" customFormat="false" ht="15" hidden="false" customHeight="false" outlineLevel="0" collapsed="false">
      <c r="A63" s="6" t="s">
        <v>138</v>
      </c>
      <c r="B63" s="31" t="n">
        <f aca="false">B56/5000</f>
        <v>0.761898052</v>
      </c>
    </row>
    <row r="64" customFormat="false" ht="15" hidden="false" customHeight="false" outlineLevel="0" collapsed="false">
      <c r="A64" s="6" t="s">
        <v>139</v>
      </c>
      <c r="B64" s="31" t="n">
        <f aca="false">B19/5000</f>
        <v>4.105588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8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140</v>
      </c>
    </row>
    <row r="3" customFormat="false" ht="15" hidden="false" customHeight="false" outlineLevel="0" collapsed="false">
      <c r="A3" s="32"/>
      <c r="B3" s="32" t="s">
        <v>141</v>
      </c>
      <c r="C3" s="32" t="s">
        <v>142</v>
      </c>
      <c r="D3" s="32" t="s">
        <v>143</v>
      </c>
      <c r="E3" s="32" t="s">
        <v>144</v>
      </c>
      <c r="F3" s="32" t="s">
        <v>145</v>
      </c>
    </row>
    <row r="4" customFormat="false" ht="15" hidden="false" customHeight="false" outlineLevel="0" collapsed="false">
      <c r="A4" s="21" t="s">
        <v>146</v>
      </c>
      <c r="B4" s="33" t="n">
        <v>0</v>
      </c>
      <c r="C4" s="33" t="n">
        <v>4.74</v>
      </c>
      <c r="D4" s="33" t="n">
        <v>9.24</v>
      </c>
      <c r="E4" s="33" t="n">
        <v>23.49</v>
      </c>
      <c r="F4" s="33" t="n">
        <v>23.49</v>
      </c>
    </row>
    <row r="5" customFormat="false" ht="15" hidden="false" customHeight="false" outlineLevel="0" collapsed="false">
      <c r="A5" s="21" t="s">
        <v>147</v>
      </c>
      <c r="B5" s="33" t="n">
        <v>0.185</v>
      </c>
      <c r="C5" s="33" t="n">
        <v>0.199</v>
      </c>
      <c r="D5" s="33" t="n">
        <v>0.199</v>
      </c>
      <c r="E5" s="33" t="n">
        <v>0.199</v>
      </c>
      <c r="F5" s="33" t="n">
        <v>3.488</v>
      </c>
    </row>
    <row r="6" customFormat="false" ht="15" hidden="false" customHeight="false" outlineLevel="0" collapsed="false">
      <c r="A6" s="21" t="s">
        <v>148</v>
      </c>
      <c r="B6" s="34" t="n">
        <f aca="false">B4-B5</f>
        <v>-0.185</v>
      </c>
      <c r="C6" s="34" t="n">
        <f aca="false">C4-C5</f>
        <v>4.541</v>
      </c>
      <c r="D6" s="34" t="n">
        <f aca="false">D4-D5</f>
        <v>9.041</v>
      </c>
      <c r="E6" s="34" t="n">
        <f aca="false">E4-E5</f>
        <v>23.291</v>
      </c>
      <c r="F6" s="34" t="n">
        <f aca="false">F4-F5</f>
        <v>20.002</v>
      </c>
    </row>
    <row r="7" customFormat="false" ht="15" hidden="false" customHeight="false" outlineLevel="0" collapsed="false">
      <c r="A7" s="35" t="s">
        <v>149</v>
      </c>
      <c r="B7" s="36" t="s">
        <v>150</v>
      </c>
      <c r="C7" s="30" t="n">
        <f aca="false">C6/C4</f>
        <v>0.958016877637131</v>
      </c>
      <c r="D7" s="30" t="n">
        <f aca="false">D6/D4</f>
        <v>0.978463203463204</v>
      </c>
      <c r="E7" s="30" t="n">
        <f aca="false">E6/E4</f>
        <v>0.991528309919114</v>
      </c>
      <c r="F7" s="30" t="n">
        <f aca="false">F6/F4</f>
        <v>0.851511281396339</v>
      </c>
    </row>
    <row r="9" customFormat="false" ht="15" hidden="false" customHeight="false" outlineLevel="0" collapsed="false">
      <c r="A9" s="19" t="s">
        <v>151</v>
      </c>
    </row>
    <row r="10" customFormat="false" ht="15" hidden="false" customHeight="false" outlineLevel="0" collapsed="false">
      <c r="A10" s="37" t="s">
        <v>152</v>
      </c>
    </row>
    <row r="11" customFormat="false" ht="15" hidden="false" customHeight="false" outlineLevel="0" collapsed="false">
      <c r="A11" s="37" t="s">
        <v>153</v>
      </c>
    </row>
    <row r="12" customFormat="false" ht="15" hidden="false" customHeight="false" outlineLevel="0" collapsed="false">
      <c r="A12" s="37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2026-03-06T17:41:25Z</dcterms:created>
  <dc:creator>openpyxl</dc:creator>
  <dc:description/>
  <dc:language>en-US</dc:language>
  <cp:lastModifiedBy/>
  <dcterms:modified xsi:type="dcterms:W3CDTF">2026-03-06T17:41:25Z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